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wfastsemi-my.sharepoint.com/personal/becky_chen_newfast-semi_com/Documents/Becky/資管資料/專案工作/IN PROGRESS/鋼瓶生產/"/>
    </mc:Choice>
  </mc:AlternateContent>
  <xr:revisionPtr revIDLastSave="35" documentId="8_{FCA60125-DA94-43DE-A67E-BD609FF73851}" xr6:coauthVersionLast="47" xr6:coauthVersionMax="47" xr10:uidLastSave="{4F01C3A5-D9EB-4FFC-AFF5-91742A950E98}"/>
  <bookViews>
    <workbookView xWindow="-108" yWindow="-108" windowWidth="23256" windowHeight="13896" activeTab="2" xr2:uid="{00000000-000D-0000-FFFF-FFFF00000000}"/>
  </bookViews>
  <sheets>
    <sheet name="Report(空白)" sheetId="2" r:id="rId1"/>
    <sheet name="Report(範本)" sheetId="7" r:id="rId2"/>
    <sheet name="欄位註解" sheetId="8" r:id="rId3"/>
  </sheets>
  <externalReferences>
    <externalReference r:id="rId4"/>
  </externalReferences>
  <definedNames>
    <definedName name="_xlnm.Print_Area" localSheetId="0">'Report(空白)'!$B$2:$AA$66</definedName>
    <definedName name="_xlnm.Print_Area" localSheetId="1">'Report(範本)'!$B$2:$AA$66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6" i="7" l="1"/>
  <c r="T66" i="7"/>
  <c r="O66" i="7"/>
  <c r="K66" i="7"/>
  <c r="F66" i="7"/>
  <c r="B66" i="7"/>
  <c r="T60" i="7"/>
  <c r="K60" i="7"/>
  <c r="B60" i="7"/>
  <c r="T59" i="7"/>
  <c r="K59" i="7"/>
  <c r="B59" i="7"/>
  <c r="T58" i="7"/>
  <c r="K58" i="7"/>
  <c r="B58" i="7"/>
  <c r="T57" i="7"/>
  <c r="K57" i="7"/>
  <c r="B57" i="7"/>
  <c r="T56" i="7"/>
  <c r="K56" i="7"/>
  <c r="B56" i="7"/>
  <c r="T55" i="7"/>
  <c r="K55" i="7"/>
  <c r="B55" i="7"/>
  <c r="T54" i="7"/>
  <c r="K54" i="7"/>
  <c r="B54" i="7"/>
  <c r="T53" i="7"/>
  <c r="O53" i="7"/>
  <c r="K53" i="7"/>
  <c r="B53" i="7"/>
  <c r="T52" i="7"/>
  <c r="K52" i="7"/>
  <c r="B52" i="7"/>
  <c r="W51" i="7"/>
  <c r="T51" i="7"/>
  <c r="N51" i="7"/>
  <c r="K51" i="7"/>
  <c r="E51" i="7"/>
  <c r="B51" i="7"/>
  <c r="X50" i="7"/>
  <c r="T50" i="7"/>
  <c r="O50" i="7"/>
  <c r="K50" i="7"/>
  <c r="B50" i="7"/>
  <c r="X44" i="7"/>
  <c r="T44" i="7"/>
  <c r="O44" i="7"/>
  <c r="K44" i="7"/>
  <c r="F44" i="7"/>
  <c r="B44" i="7"/>
  <c r="T38" i="7"/>
  <c r="K38" i="7"/>
  <c r="B38" i="7"/>
  <c r="T37" i="7"/>
  <c r="K37" i="7"/>
  <c r="B37" i="7"/>
  <c r="T36" i="7"/>
  <c r="K36" i="7"/>
  <c r="B36" i="7"/>
  <c r="T35" i="7"/>
  <c r="K35" i="7"/>
  <c r="B35" i="7"/>
  <c r="T34" i="7"/>
  <c r="K34" i="7"/>
  <c r="B34" i="7"/>
  <c r="T33" i="7"/>
  <c r="K33" i="7"/>
  <c r="B33" i="7"/>
  <c r="T32" i="7"/>
  <c r="K32" i="7"/>
  <c r="B32" i="7"/>
  <c r="T31" i="7"/>
  <c r="K31" i="7"/>
  <c r="B31" i="7"/>
  <c r="T30" i="7"/>
  <c r="K30" i="7"/>
  <c r="B30" i="7"/>
  <c r="W29" i="7"/>
  <c r="T29" i="7"/>
  <c r="N29" i="7"/>
  <c r="K29" i="7"/>
  <c r="E29" i="7"/>
  <c r="B29" i="7"/>
  <c r="T28" i="7"/>
  <c r="K28" i="7"/>
  <c r="B28" i="7"/>
  <c r="X22" i="7"/>
  <c r="T22" i="7"/>
  <c r="O22" i="7"/>
  <c r="K22" i="7"/>
  <c r="T16" i="7"/>
  <c r="K16" i="7"/>
  <c r="T15" i="7"/>
  <c r="K15" i="7"/>
  <c r="T14" i="7"/>
  <c r="K14" i="7"/>
  <c r="T13" i="7"/>
  <c r="K13" i="7"/>
  <c r="T12" i="7"/>
  <c r="K12" i="7"/>
  <c r="T11" i="7"/>
  <c r="K11" i="7"/>
  <c r="T10" i="7"/>
  <c r="K10" i="7"/>
  <c r="T9" i="7"/>
  <c r="K9" i="7"/>
  <c r="T8" i="7"/>
  <c r="K8" i="7"/>
  <c r="W7" i="7"/>
  <c r="T7" i="7"/>
  <c r="N7" i="7"/>
  <c r="K7" i="7"/>
  <c r="T6" i="7"/>
  <c r="K6" i="7"/>
  <c r="X60" i="7" l="1"/>
  <c r="O60" i="7"/>
  <c r="X59" i="7"/>
  <c r="O59" i="7"/>
  <c r="X58" i="7"/>
  <c r="O58" i="7"/>
  <c r="X57" i="7"/>
  <c r="O57" i="7"/>
  <c r="X56" i="7"/>
  <c r="O56" i="7"/>
  <c r="X55" i="7"/>
  <c r="O55" i="7"/>
  <c r="X54" i="7"/>
  <c r="O54" i="7"/>
  <c r="X53" i="7"/>
  <c r="X52" i="7"/>
  <c r="O52" i="7"/>
  <c r="O50" i="2" l="1"/>
  <c r="T16" i="2" l="1"/>
  <c r="K16" i="2"/>
  <c r="X66" i="2" l="1"/>
  <c r="T66" i="2"/>
  <c r="O66" i="2"/>
  <c r="K66" i="2"/>
  <c r="F66" i="2"/>
  <c r="B66" i="2"/>
  <c r="X44" i="2"/>
  <c r="T44" i="2"/>
  <c r="O44" i="2"/>
  <c r="K44" i="2"/>
  <c r="F44" i="2"/>
  <c r="B44" i="2"/>
  <c r="X22" i="2"/>
  <c r="T22" i="2"/>
  <c r="T60" i="2"/>
  <c r="X60" i="2" s="1"/>
  <c r="K60" i="2"/>
  <c r="O60" i="2" s="1"/>
  <c r="B60" i="2"/>
  <c r="T59" i="2"/>
  <c r="X59" i="2" s="1"/>
  <c r="K59" i="2"/>
  <c r="O59" i="2" s="1"/>
  <c r="B59" i="2"/>
  <c r="T58" i="2"/>
  <c r="X58" i="2" s="1"/>
  <c r="K58" i="2"/>
  <c r="O58" i="2" s="1"/>
  <c r="B58" i="2"/>
  <c r="T57" i="2"/>
  <c r="X57" i="2" s="1"/>
  <c r="K57" i="2"/>
  <c r="O57" i="2" s="1"/>
  <c r="B57" i="2"/>
  <c r="T56" i="2"/>
  <c r="X56" i="2" s="1"/>
  <c r="K56" i="2"/>
  <c r="O56" i="2" s="1"/>
  <c r="B56" i="2"/>
  <c r="T55" i="2"/>
  <c r="X55" i="2" s="1"/>
  <c r="K55" i="2"/>
  <c r="O55" i="2" s="1"/>
  <c r="B55" i="2"/>
  <c r="T54" i="2"/>
  <c r="X54" i="2" s="1"/>
  <c r="K54" i="2"/>
  <c r="O54" i="2" s="1"/>
  <c r="B54" i="2"/>
  <c r="T53" i="2"/>
  <c r="X53" i="2" s="1"/>
  <c r="K53" i="2"/>
  <c r="O53" i="2" s="1"/>
  <c r="B53" i="2"/>
  <c r="T52" i="2"/>
  <c r="X52" i="2" s="1"/>
  <c r="K52" i="2"/>
  <c r="O52" i="2" s="1"/>
  <c r="B52" i="2"/>
  <c r="W51" i="2"/>
  <c r="T51" i="2"/>
  <c r="N51" i="2"/>
  <c r="K51" i="2"/>
  <c r="E51" i="2"/>
  <c r="B51" i="2"/>
  <c r="X50" i="2"/>
  <c r="T50" i="2"/>
  <c r="K50" i="2"/>
  <c r="B50" i="2"/>
  <c r="T38" i="2"/>
  <c r="T37" i="2"/>
  <c r="T36" i="2"/>
  <c r="T35" i="2"/>
  <c r="T34" i="2"/>
  <c r="T33" i="2"/>
  <c r="T32" i="2"/>
  <c r="T31" i="2"/>
  <c r="T30" i="2"/>
  <c r="W29" i="2"/>
  <c r="T29" i="2"/>
  <c r="T28" i="2"/>
  <c r="K38" i="2"/>
  <c r="K37" i="2"/>
  <c r="K36" i="2"/>
  <c r="K35" i="2"/>
  <c r="K34" i="2"/>
  <c r="K33" i="2"/>
  <c r="K32" i="2"/>
  <c r="K31" i="2"/>
  <c r="K30" i="2"/>
  <c r="N29" i="2"/>
  <c r="K29" i="2"/>
  <c r="K28" i="2"/>
  <c r="B38" i="2"/>
  <c r="B37" i="2"/>
  <c r="B36" i="2"/>
  <c r="B35" i="2"/>
  <c r="B34" i="2"/>
  <c r="B33" i="2"/>
  <c r="B32" i="2"/>
  <c r="B31" i="2"/>
  <c r="B30" i="2"/>
  <c r="E29" i="2"/>
  <c r="B29" i="2"/>
  <c r="B28" i="2"/>
  <c r="T15" i="2"/>
  <c r="T14" i="2"/>
  <c r="T13" i="2"/>
  <c r="T12" i="2"/>
  <c r="T11" i="2"/>
  <c r="T10" i="2"/>
  <c r="T9" i="2"/>
  <c r="T8" i="2"/>
  <c r="W7" i="2"/>
  <c r="T7" i="2"/>
  <c r="T6" i="2"/>
  <c r="O22" i="2"/>
  <c r="K22" i="2"/>
  <c r="K15" i="2"/>
  <c r="K14" i="2"/>
  <c r="K13" i="2"/>
  <c r="K12" i="2"/>
  <c r="K11" i="2"/>
  <c r="K10" i="2"/>
  <c r="K9" i="2"/>
  <c r="K8" i="2"/>
  <c r="N7" i="2"/>
  <c r="K6" i="2"/>
  <c r="K7" i="2"/>
</calcChain>
</file>

<file path=xl/sharedStrings.xml><?xml version="1.0" encoding="utf-8"?>
<sst xmlns="http://schemas.openxmlformats.org/spreadsheetml/2006/main" count="150" uniqueCount="66">
  <si>
    <t xml:space="preserve"> Compounds </t>
    <phoneticPr fontId="1" type="noConversion"/>
  </si>
  <si>
    <t>Analytical Results (ppb)</t>
    <phoneticPr fontId="1" type="noConversion"/>
  </si>
  <si>
    <t xml:space="preserve"> Acetone</t>
    <phoneticPr fontId="1" type="noConversion"/>
  </si>
  <si>
    <t xml:space="preserve"> IPA</t>
    <phoneticPr fontId="1" type="noConversion"/>
  </si>
  <si>
    <t xml:space="preserve"> CNF</t>
    <phoneticPr fontId="1" type="noConversion"/>
  </si>
  <si>
    <t xml:space="preserve"> 2-Butanone</t>
    <phoneticPr fontId="1" type="noConversion"/>
  </si>
  <si>
    <t xml:space="preserve"> Ethyl Acetate</t>
    <phoneticPr fontId="1" type="noConversion"/>
  </si>
  <si>
    <t xml:space="preserve"> Benzene</t>
    <phoneticPr fontId="1" type="noConversion"/>
  </si>
  <si>
    <t xml:space="preserve"> Toluene</t>
    <phoneticPr fontId="1" type="noConversion"/>
  </si>
  <si>
    <t>安裝Engineer  Signature  / Date</t>
    <phoneticPr fontId="1" type="noConversion"/>
  </si>
  <si>
    <t>Authorized Signature  / Date</t>
    <phoneticPr fontId="1" type="noConversion"/>
  </si>
  <si>
    <t xml:space="preserve"> Cyclopentane</t>
    <phoneticPr fontId="1" type="noConversion"/>
  </si>
  <si>
    <t>|</t>
    <phoneticPr fontId="1" type="noConversion"/>
  </si>
  <si>
    <t xml:space="preserve">NF-SEMI STD  : </t>
    <phoneticPr fontId="1" type="noConversion"/>
  </si>
  <si>
    <t xml:space="preserve"> </t>
    <phoneticPr fontId="1" type="noConversion"/>
  </si>
  <si>
    <t xml:space="preserve"> 1,2,4-TMB</t>
    <phoneticPr fontId="1" type="noConversion"/>
  </si>
  <si>
    <t>母瓶 NO.  CC-706988</t>
    <phoneticPr fontId="1" type="noConversion"/>
  </si>
  <si>
    <t xml:space="preserve">母瓶 NO.  </t>
  </si>
  <si>
    <t xml:space="preserve">母瓶 NO.  </t>
    <phoneticPr fontId="1" type="noConversion"/>
  </si>
  <si>
    <t xml:space="preserve">QC: </t>
  </si>
  <si>
    <t xml:space="preserve">QC: </t>
    <phoneticPr fontId="1" type="noConversion"/>
  </si>
  <si>
    <r>
      <rPr>
        <b/>
        <sz val="7.5"/>
        <color rgb="FFFF0000"/>
        <rFont val="Microsoft JhengHei UI"/>
        <family val="2"/>
        <charset val="136"/>
      </rPr>
      <t>XXX-XXXX瓶號</t>
    </r>
    <r>
      <rPr>
        <b/>
        <sz val="7.5"/>
        <color theme="1"/>
        <rFont val="Microsoft JhengHei UI"/>
        <family val="2"/>
        <charset val="136"/>
      </rPr>
      <t>有效期限：</t>
    </r>
    <phoneticPr fontId="1" type="noConversion"/>
  </si>
  <si>
    <t>STD-N095</t>
  </si>
  <si>
    <t>STD-N122</t>
  </si>
  <si>
    <t>STD-N081</t>
  </si>
  <si>
    <t>QC: 2020/10/29</t>
  </si>
  <si>
    <t>STD-N095有效期限：2026/09/15</t>
  </si>
  <si>
    <t>STD-N122有效期限：2026/09/15</t>
  </si>
  <si>
    <t>QC: 2020/11/06</t>
  </si>
  <si>
    <t>STD-N081有效期限：2026/09/15</t>
  </si>
  <si>
    <t>STD-T010</t>
  </si>
  <si>
    <t>STD-T019</t>
  </si>
  <si>
    <t>STD-T072</t>
  </si>
  <si>
    <t>QC: 2020/11/10</t>
  </si>
  <si>
    <t>STD-T010有效期限：2026/09/15</t>
  </si>
  <si>
    <t>STD-T019有效期限：2026/09/15</t>
  </si>
  <si>
    <t>QC: 2020/11/09</t>
  </si>
  <si>
    <t>STD-T072有效期限：2026/09/15</t>
  </si>
  <si>
    <t>STD-N166</t>
  </si>
  <si>
    <t>QC: 2020/11/07</t>
  </si>
  <si>
    <t>STD-N166有效期限：2026/09/15</t>
  </si>
  <si>
    <t>有效期限：</t>
  </si>
  <si>
    <t>有效期限：</t>
    <phoneticPr fontId="1" type="noConversion"/>
  </si>
  <si>
    <t>欄位名稱</t>
    <phoneticPr fontId="1" type="noConversion"/>
  </si>
  <si>
    <t>值</t>
    <phoneticPr fontId="1" type="noConversion"/>
  </si>
  <si>
    <t>值的格式</t>
    <phoneticPr fontId="1" type="noConversion"/>
  </si>
  <si>
    <t>值的判定</t>
    <phoneticPr fontId="1" type="noConversion"/>
  </si>
  <si>
    <t>值的公式</t>
    <phoneticPr fontId="1" type="noConversion"/>
  </si>
  <si>
    <t>備註</t>
    <phoneticPr fontId="1" type="noConversion"/>
  </si>
  <si>
    <t xml:space="preserve">NF-SEMI STD  : </t>
  </si>
  <si>
    <t>STD-N095 (範例)</t>
    <phoneticPr fontId="1" type="noConversion"/>
  </si>
  <si>
    <t>變動欄位</t>
    <phoneticPr fontId="1" type="noConversion"/>
  </si>
  <si>
    <t>依照GAS_MFG_Lot(生產資訊)中的 SamplName</t>
    <phoneticPr fontId="1" type="noConversion"/>
  </si>
  <si>
    <t>Analytical Results (ppb)</t>
  </si>
  <si>
    <t>依照計算結果中的ppb值</t>
    <phoneticPr fontId="1" type="noConversion"/>
  </si>
  <si>
    <t>母瓶 NO.</t>
  </si>
  <si>
    <t>CC-706988 (範例)</t>
    <phoneticPr fontId="1" type="noConversion"/>
  </si>
  <si>
    <t>依照GAS_MFG_Lot(生產資訊)中的Prod_Bomb1_LotNo</t>
    <phoneticPr fontId="1" type="noConversion"/>
  </si>
  <si>
    <t>QC:</t>
  </si>
  <si>
    <t>2026/04/24 (範例)</t>
    <phoneticPr fontId="1" type="noConversion"/>
  </si>
  <si>
    <t>依照計算結果中的AnlzTime</t>
    <phoneticPr fontId="1" type="noConversion"/>
  </si>
  <si>
    <t>2027/3/31 (範例)</t>
  </si>
  <si>
    <t>變動欄位</t>
  </si>
  <si>
    <t>依照GAS_MFG_Lot(生產資訊)中的 Container 判定</t>
  </si>
  <si>
    <t>"1L_Cylinder" 是Certification Date +364天
"0.5L_Cylinder"跟著母瓶的日期</t>
  </si>
  <si>
    <t>母瓶日期現在未有資料表紀錄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</si>
</sst>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1"/>
      <name val="Microsoft JhengHei UI"/>
      <family val="2"/>
      <charset val="136"/>
    </font>
    <font>
      <b/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Microsoft JhengHei UI"/>
      <family val="2"/>
      <charset val="136"/>
    </font>
    <font>
      <sz val="11"/>
      <color theme="1"/>
      <name val="Microsoft JhengHei UI"/>
      <family val="2"/>
      <charset val="136"/>
    </font>
    <font>
      <sz val="7"/>
      <color theme="1"/>
      <name val="Microsoft JhengHei UI"/>
      <family val="2"/>
      <charset val="136"/>
    </font>
    <font>
      <b/>
      <sz val="11"/>
      <color theme="1"/>
      <name val="Microsoft JhengHei UI"/>
      <family val="2"/>
      <charset val="136"/>
    </font>
    <font>
      <sz val="11"/>
      <color theme="1"/>
      <name val="新細明體"/>
      <family val="2"/>
      <charset val="136"/>
      <scheme val="minor"/>
    </font>
    <font>
      <sz val="9"/>
      <color theme="1"/>
      <name val="新細明體"/>
      <family val="2"/>
      <charset val="136"/>
      <scheme val="minor"/>
    </font>
    <font>
      <sz val="12"/>
      <color theme="1"/>
      <name val="Arial Unicode MS"/>
      <family val="2"/>
      <charset val="136"/>
    </font>
    <font>
      <sz val="10"/>
      <name val="Arial"/>
      <family val="2"/>
    </font>
    <font>
      <b/>
      <sz val="12"/>
      <color rgb="FF0033FF"/>
      <name val="Arial Unicode MS"/>
      <family val="2"/>
      <charset val="136"/>
    </font>
    <font>
      <b/>
      <sz val="12"/>
      <color rgb="FFFF3366"/>
      <name val="Arial Unicode MS"/>
      <family val="2"/>
      <charset val="136"/>
    </font>
    <font>
      <b/>
      <sz val="7.5"/>
      <color theme="1"/>
      <name val="Microsoft JhengHei UI"/>
      <family val="2"/>
      <charset val="136"/>
    </font>
    <font>
      <b/>
      <sz val="7.5"/>
      <color rgb="FFFF0000"/>
      <name val="Microsoft JhengHei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2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0" fillId="0" borderId="2" xfId="0" applyBorder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14" fontId="0" fillId="0" borderId="0" xfId="0" applyNumberFormat="1">
      <alignment vertical="center"/>
    </xf>
    <xf numFmtId="176" fontId="11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176" fontId="11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</cellXfs>
  <cellStyles count="2">
    <cellStyle name="一般" xfId="0" builtinId="0"/>
    <cellStyle name="一般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412127</xdr:colOff>
      <xdr:row>1</xdr:row>
      <xdr:rowOff>39999</xdr:rowOff>
    </xdr:from>
    <xdr:to>
      <xdr:col>8</xdr:col>
      <xdr:colOff>238125</xdr:colOff>
      <xdr:row>5</xdr:row>
      <xdr:rowOff>0</xdr:rowOff>
    </xdr:to>
    <xdr:sp macro="" textlink="">
      <xdr:nvSpPr>
        <xdr:cNvPr id="104" name="Text Box 2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475627" y="84449"/>
          <a:ext cx="2391398" cy="601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zh-TW" altLang="en-US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rPr>
            <a:t>金 兆 益 科 技 股 份 有 限 公 司</a:t>
          </a:r>
          <a:endParaRPr lang="en-US" altLang="zh-TW" sz="1200" b="1" i="0" u="none" strike="noStrike" spc="-100" baseline="0">
            <a:solidFill>
              <a:srgbClr val="000000"/>
            </a:solidFill>
            <a:latin typeface="標楷體" pitchFamily="65" charset="-120"/>
            <a:ea typeface="標楷體" pitchFamily="65" charset="-120"/>
          </a:endParaRPr>
        </a:p>
        <a:p>
          <a:pPr algn="ctr" rtl="0">
            <a:lnSpc>
              <a:spcPts val="2000"/>
            </a:lnSpc>
            <a:defRPr sz="1000"/>
          </a:pPr>
          <a:r>
            <a:rPr lang="en-US" altLang="zh-TW" sz="1200" b="1" i="0" u="none" strike="noStrike" spc="0" baseline="0">
              <a:solidFill>
                <a:srgbClr val="000000"/>
              </a:solidFill>
              <a:latin typeface="Times New Roman" panose="02020603050405020304" pitchFamily="18" charset="0"/>
              <a:ea typeface="標楷體" pitchFamily="65" charset="-120"/>
              <a:cs typeface="Times New Roman" panose="02020603050405020304" pitchFamily="18" charset="0"/>
            </a:rPr>
            <a:t>New-Fast Technology Co., LTD</a:t>
          </a:r>
        </a:p>
        <a:p>
          <a:pPr algn="l" rtl="0">
            <a:defRPr sz="1000"/>
          </a:pPr>
          <a:endParaRPr lang="en-US" altLang="zh-TW" sz="1000" b="0" i="0" u="none" strike="noStrike" spc="-100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</xdr:col>
      <xdr:colOff>47625</xdr:colOff>
      <xdr:row>1</xdr:row>
      <xdr:rowOff>174513</xdr:rowOff>
    </xdr:from>
    <xdr:to>
      <xdr:col>1</xdr:col>
      <xdr:colOff>496912</xdr:colOff>
      <xdr:row>2</xdr:row>
      <xdr:rowOff>137645</xdr:rowOff>
    </xdr:to>
    <xdr:pic>
      <xdr:nvPicPr>
        <xdr:cNvPr id="94" name="圖片 0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1125" y="218963"/>
          <a:ext cx="449287" cy="1790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47625</xdr:colOff>
      <xdr:row>1</xdr:row>
      <xdr:rowOff>39999</xdr:rowOff>
    </xdr:from>
    <xdr:to>
      <xdr:col>18</xdr:col>
      <xdr:colOff>0</xdr:colOff>
      <xdr:row>5</xdr:row>
      <xdr:rowOff>0</xdr:rowOff>
    </xdr:to>
    <xdr:grpSp>
      <xdr:nvGrpSpPr>
        <xdr:cNvPr id="96" name="群組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/>
      </xdr:nvGrpSpPr>
      <xdr:grpSpPr>
        <a:xfrm>
          <a:off x="2935605" y="85719"/>
          <a:ext cx="2703195" cy="577221"/>
          <a:chOff x="47625" y="8755374"/>
          <a:chExt cx="3028950" cy="588651"/>
        </a:xfrm>
      </xdr:grpSpPr>
      <xdr:pic>
        <xdr:nvPicPr>
          <xdr:cNvPr id="97" name="圖片 0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98" name="Text Box 25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47625</xdr:colOff>
      <xdr:row>1</xdr:row>
      <xdr:rowOff>39999</xdr:rowOff>
    </xdr:from>
    <xdr:to>
      <xdr:col>27</xdr:col>
      <xdr:colOff>0</xdr:colOff>
      <xdr:row>5</xdr:row>
      <xdr:rowOff>0</xdr:rowOff>
    </xdr:to>
    <xdr:grpSp>
      <xdr:nvGrpSpPr>
        <xdr:cNvPr id="101" name="群組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5747385" y="85719"/>
          <a:ext cx="2703195" cy="577221"/>
          <a:chOff x="47625" y="8755374"/>
          <a:chExt cx="3028950" cy="588651"/>
        </a:xfrm>
      </xdr:grpSpPr>
      <xdr:pic>
        <xdr:nvPicPr>
          <xdr:cNvPr id="108" name="圖片 0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9" name="Text Box 25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</xdr:col>
      <xdr:colOff>47625</xdr:colOff>
      <xdr:row>23</xdr:row>
      <xdr:rowOff>39999</xdr:rowOff>
    </xdr:from>
    <xdr:to>
      <xdr:col>8</xdr:col>
      <xdr:colOff>238125</xdr:colOff>
      <xdr:row>27</xdr:row>
      <xdr:rowOff>0</xdr:rowOff>
    </xdr:to>
    <xdr:grpSp>
      <xdr:nvGrpSpPr>
        <xdr:cNvPr id="115" name="群組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pSpPr/>
      </xdr:nvGrpSpPr>
      <xdr:grpSpPr>
        <a:xfrm>
          <a:off x="108585" y="4657719"/>
          <a:ext cx="2720340" cy="577221"/>
          <a:chOff x="47625" y="8755374"/>
          <a:chExt cx="3028950" cy="588651"/>
        </a:xfrm>
      </xdr:grpSpPr>
      <xdr:pic>
        <xdr:nvPicPr>
          <xdr:cNvPr id="116" name="圖片 0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638"/>
            <a:ext cx="493799" cy="1752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17" name="Text Box 25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</a:t>
            </a: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D</a:t>
            </a:r>
            <a:endParaRPr lang="en-US" altLang="zh-TW" sz="1200" b="1" i="0" u="none" strike="noStrike" spc="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  <a:cs typeface="Times New Roman"/>
            </a:endParaRP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10</xdr:col>
      <xdr:colOff>47625</xdr:colOff>
      <xdr:row>23</xdr:row>
      <xdr:rowOff>39999</xdr:rowOff>
    </xdr:from>
    <xdr:to>
      <xdr:col>18</xdr:col>
      <xdr:colOff>0</xdr:colOff>
      <xdr:row>27</xdr:row>
      <xdr:rowOff>0</xdr:rowOff>
    </xdr:to>
    <xdr:grpSp>
      <xdr:nvGrpSpPr>
        <xdr:cNvPr id="120" name="群組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pSpPr/>
      </xdr:nvGrpSpPr>
      <xdr:grpSpPr>
        <a:xfrm>
          <a:off x="2935605" y="4657719"/>
          <a:ext cx="2703195" cy="577221"/>
          <a:chOff x="47625" y="8755374"/>
          <a:chExt cx="3028950" cy="588651"/>
        </a:xfrm>
      </xdr:grpSpPr>
      <xdr:pic>
        <xdr:nvPicPr>
          <xdr:cNvPr id="121" name="圖片 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2" name="Text Box 25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47625</xdr:colOff>
      <xdr:row>23</xdr:row>
      <xdr:rowOff>39999</xdr:rowOff>
    </xdr:from>
    <xdr:to>
      <xdr:col>27</xdr:col>
      <xdr:colOff>0</xdr:colOff>
      <xdr:row>27</xdr:row>
      <xdr:rowOff>0</xdr:rowOff>
    </xdr:to>
    <xdr:grpSp>
      <xdr:nvGrpSpPr>
        <xdr:cNvPr id="125" name="群組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5747385" y="4657719"/>
          <a:ext cx="2703195" cy="577221"/>
          <a:chOff x="47625" y="8755374"/>
          <a:chExt cx="3028950" cy="588651"/>
        </a:xfrm>
      </xdr:grpSpPr>
      <xdr:pic>
        <xdr:nvPicPr>
          <xdr:cNvPr id="126" name="圖片 0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7" name="Text Box 25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</xdr:col>
      <xdr:colOff>47625</xdr:colOff>
      <xdr:row>45</xdr:row>
      <xdr:rowOff>39999</xdr:rowOff>
    </xdr:from>
    <xdr:to>
      <xdr:col>8</xdr:col>
      <xdr:colOff>238125</xdr:colOff>
      <xdr:row>49</xdr:row>
      <xdr:rowOff>0</xdr:rowOff>
    </xdr:to>
    <xdr:grpSp>
      <xdr:nvGrpSpPr>
        <xdr:cNvPr id="130" name="群組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pSpPr/>
      </xdr:nvGrpSpPr>
      <xdr:grpSpPr>
        <a:xfrm>
          <a:off x="108585" y="9222099"/>
          <a:ext cx="2720340" cy="577221"/>
          <a:chOff x="47625" y="8755374"/>
          <a:chExt cx="3028950" cy="588651"/>
        </a:xfrm>
      </xdr:grpSpPr>
      <xdr:pic>
        <xdr:nvPicPr>
          <xdr:cNvPr id="131" name="圖片 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638"/>
            <a:ext cx="493799" cy="1752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32" name="Text Box 25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10</xdr:col>
      <xdr:colOff>47625</xdr:colOff>
      <xdr:row>45</xdr:row>
      <xdr:rowOff>39999</xdr:rowOff>
    </xdr:from>
    <xdr:to>
      <xdr:col>18</xdr:col>
      <xdr:colOff>0</xdr:colOff>
      <xdr:row>49</xdr:row>
      <xdr:rowOff>0</xdr:rowOff>
    </xdr:to>
    <xdr:grpSp>
      <xdr:nvGrpSpPr>
        <xdr:cNvPr id="135" name="群組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GrpSpPr/>
      </xdr:nvGrpSpPr>
      <xdr:grpSpPr>
        <a:xfrm>
          <a:off x="2935605" y="9222099"/>
          <a:ext cx="2703195" cy="577221"/>
          <a:chOff x="47625" y="8755374"/>
          <a:chExt cx="3028950" cy="588651"/>
        </a:xfrm>
      </xdr:grpSpPr>
      <xdr:pic>
        <xdr:nvPicPr>
          <xdr:cNvPr id="136" name="圖片 0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37" name="Text Box 25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47625</xdr:colOff>
      <xdr:row>45</xdr:row>
      <xdr:rowOff>39999</xdr:rowOff>
    </xdr:from>
    <xdr:to>
      <xdr:col>27</xdr:col>
      <xdr:colOff>0</xdr:colOff>
      <xdr:row>49</xdr:row>
      <xdr:rowOff>0</xdr:rowOff>
    </xdr:to>
    <xdr:grpSp>
      <xdr:nvGrpSpPr>
        <xdr:cNvPr id="140" name="群組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pSpPr/>
      </xdr:nvGrpSpPr>
      <xdr:grpSpPr>
        <a:xfrm>
          <a:off x="5747385" y="9222099"/>
          <a:ext cx="2703195" cy="577221"/>
          <a:chOff x="47625" y="8755374"/>
          <a:chExt cx="3028950" cy="588651"/>
        </a:xfrm>
      </xdr:grpSpPr>
      <xdr:pic>
        <xdr:nvPicPr>
          <xdr:cNvPr id="141" name="圖片 0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42" name="Text Box 25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412127</xdr:colOff>
      <xdr:row>1</xdr:row>
      <xdr:rowOff>39999</xdr:rowOff>
    </xdr:from>
    <xdr:to>
      <xdr:col>8</xdr:col>
      <xdr:colOff>238125</xdr:colOff>
      <xdr:row>5</xdr:row>
      <xdr:rowOff>0</xdr:rowOff>
    </xdr:to>
    <xdr:sp macro="" textlink="">
      <xdr:nvSpPr>
        <xdr:cNvPr id="2" name="Text Box 25">
          <a:extLst>
            <a:ext uri="{FF2B5EF4-FFF2-40B4-BE49-F238E27FC236}">
              <a16:creationId xmlns:a16="http://schemas.microsoft.com/office/drawing/2014/main" id="{C4F9B14D-97D5-4EC2-8299-4FF553B96209}"/>
            </a:ext>
          </a:extLst>
        </xdr:cNvPr>
        <xdr:cNvSpPr txBox="1">
          <a:spLocks noChangeArrowheads="1"/>
        </xdr:cNvSpPr>
      </xdr:nvSpPr>
      <xdr:spPr bwMode="auto">
        <a:xfrm>
          <a:off x="473087" y="85719"/>
          <a:ext cx="2355838" cy="5772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zh-TW" altLang="en-US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rPr>
            <a:t>金 兆 益 科 技 股 份 有 限 公 司</a:t>
          </a:r>
          <a:endParaRPr lang="en-US" altLang="zh-TW" sz="1200" b="1" i="0" u="none" strike="noStrike" spc="-100" baseline="0">
            <a:solidFill>
              <a:srgbClr val="000000"/>
            </a:solidFill>
            <a:latin typeface="標楷體" pitchFamily="65" charset="-120"/>
            <a:ea typeface="標楷體" pitchFamily="65" charset="-120"/>
          </a:endParaRPr>
        </a:p>
        <a:p>
          <a:pPr algn="ctr" rtl="0">
            <a:lnSpc>
              <a:spcPts val="2000"/>
            </a:lnSpc>
            <a:defRPr sz="1000"/>
          </a:pPr>
          <a:r>
            <a:rPr lang="en-US" altLang="zh-TW" sz="1200" b="1" i="0" u="none" strike="noStrike" spc="0" baseline="0">
              <a:solidFill>
                <a:srgbClr val="000000"/>
              </a:solidFill>
              <a:latin typeface="Times New Roman" panose="02020603050405020304" pitchFamily="18" charset="0"/>
              <a:ea typeface="標楷體" pitchFamily="65" charset="-120"/>
              <a:cs typeface="Times New Roman" panose="02020603050405020304" pitchFamily="18" charset="0"/>
            </a:rPr>
            <a:t>New-Fast Technology Co., LTD</a:t>
          </a:r>
        </a:p>
        <a:p>
          <a:pPr algn="l" rtl="0">
            <a:defRPr sz="1000"/>
          </a:pPr>
          <a:endParaRPr lang="en-US" altLang="zh-TW" sz="1000" b="0" i="0" u="none" strike="noStrike" spc="-100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</xdr:col>
      <xdr:colOff>47625</xdr:colOff>
      <xdr:row>1</xdr:row>
      <xdr:rowOff>174513</xdr:rowOff>
    </xdr:from>
    <xdr:to>
      <xdr:col>1</xdr:col>
      <xdr:colOff>496912</xdr:colOff>
      <xdr:row>2</xdr:row>
      <xdr:rowOff>137645</xdr:rowOff>
    </xdr:to>
    <xdr:pic>
      <xdr:nvPicPr>
        <xdr:cNvPr id="3" name="圖片 0">
          <a:extLst>
            <a:ext uri="{FF2B5EF4-FFF2-40B4-BE49-F238E27FC236}">
              <a16:creationId xmlns:a16="http://schemas.microsoft.com/office/drawing/2014/main" id="{4F28BE89-2E3E-415E-9F9B-C435D5202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8585" y="220233"/>
          <a:ext cx="449287" cy="1688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47625</xdr:colOff>
      <xdr:row>1</xdr:row>
      <xdr:rowOff>39999</xdr:rowOff>
    </xdr:from>
    <xdr:to>
      <xdr:col>18</xdr:col>
      <xdr:colOff>0</xdr:colOff>
      <xdr:row>5</xdr:row>
      <xdr:rowOff>0</xdr:rowOff>
    </xdr:to>
    <xdr:grpSp>
      <xdr:nvGrpSpPr>
        <xdr:cNvPr id="4" name="群組 3">
          <a:extLst>
            <a:ext uri="{FF2B5EF4-FFF2-40B4-BE49-F238E27FC236}">
              <a16:creationId xmlns:a16="http://schemas.microsoft.com/office/drawing/2014/main" id="{E1C12E26-5104-4041-B27C-3E63AFC1105C}"/>
            </a:ext>
          </a:extLst>
        </xdr:cNvPr>
        <xdr:cNvGrpSpPr/>
      </xdr:nvGrpSpPr>
      <xdr:grpSpPr>
        <a:xfrm>
          <a:off x="2935605" y="85719"/>
          <a:ext cx="2703195" cy="577221"/>
          <a:chOff x="47625" y="8755374"/>
          <a:chExt cx="3028950" cy="588651"/>
        </a:xfrm>
      </xdr:grpSpPr>
      <xdr:pic>
        <xdr:nvPicPr>
          <xdr:cNvPr id="5" name="圖片 0">
            <a:extLst>
              <a:ext uri="{FF2B5EF4-FFF2-40B4-BE49-F238E27FC236}">
                <a16:creationId xmlns:a16="http://schemas.microsoft.com/office/drawing/2014/main" id="{4A715E0E-F97D-D3DD-EA8E-8B0D6A6145E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" name="Text Box 25">
            <a:extLst>
              <a:ext uri="{FF2B5EF4-FFF2-40B4-BE49-F238E27FC236}">
                <a16:creationId xmlns:a16="http://schemas.microsoft.com/office/drawing/2014/main" id="{D568D4C8-6F63-F235-3F77-B2AF99BE44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47625</xdr:colOff>
      <xdr:row>1</xdr:row>
      <xdr:rowOff>39999</xdr:rowOff>
    </xdr:from>
    <xdr:to>
      <xdr:col>27</xdr:col>
      <xdr:colOff>0</xdr:colOff>
      <xdr:row>5</xdr:row>
      <xdr:rowOff>0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CE64A992-47C7-42AF-BA48-E95D3F19691F}"/>
            </a:ext>
          </a:extLst>
        </xdr:cNvPr>
        <xdr:cNvGrpSpPr/>
      </xdr:nvGrpSpPr>
      <xdr:grpSpPr>
        <a:xfrm>
          <a:off x="5747385" y="85719"/>
          <a:ext cx="2703195" cy="577221"/>
          <a:chOff x="47625" y="8755374"/>
          <a:chExt cx="3028950" cy="588651"/>
        </a:xfrm>
      </xdr:grpSpPr>
      <xdr:pic>
        <xdr:nvPicPr>
          <xdr:cNvPr id="8" name="圖片 0">
            <a:extLst>
              <a:ext uri="{FF2B5EF4-FFF2-40B4-BE49-F238E27FC236}">
                <a16:creationId xmlns:a16="http://schemas.microsoft.com/office/drawing/2014/main" id="{BD71BE4B-0943-126F-7877-FFDA6912F0B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9" name="Text Box 25">
            <a:extLst>
              <a:ext uri="{FF2B5EF4-FFF2-40B4-BE49-F238E27FC236}">
                <a16:creationId xmlns:a16="http://schemas.microsoft.com/office/drawing/2014/main" id="{8F2EE6DB-F732-F3E8-6398-0A26AAA89C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</xdr:col>
      <xdr:colOff>47625</xdr:colOff>
      <xdr:row>23</xdr:row>
      <xdr:rowOff>39999</xdr:rowOff>
    </xdr:from>
    <xdr:to>
      <xdr:col>9</xdr:col>
      <xdr:colOff>1905</xdr:colOff>
      <xdr:row>27</xdr:row>
      <xdr:rowOff>0</xdr:rowOff>
    </xdr:to>
    <xdr:grpSp>
      <xdr:nvGrpSpPr>
        <xdr:cNvPr id="10" name="群組 9">
          <a:extLst>
            <a:ext uri="{FF2B5EF4-FFF2-40B4-BE49-F238E27FC236}">
              <a16:creationId xmlns:a16="http://schemas.microsoft.com/office/drawing/2014/main" id="{99DF6FBE-34B6-4BB0-A492-049A13C5C818}"/>
            </a:ext>
          </a:extLst>
        </xdr:cNvPr>
        <xdr:cNvGrpSpPr/>
      </xdr:nvGrpSpPr>
      <xdr:grpSpPr>
        <a:xfrm>
          <a:off x="108585" y="4657719"/>
          <a:ext cx="2720340" cy="577221"/>
          <a:chOff x="47625" y="8755374"/>
          <a:chExt cx="3028950" cy="588651"/>
        </a:xfrm>
      </xdr:grpSpPr>
      <xdr:pic>
        <xdr:nvPicPr>
          <xdr:cNvPr id="11" name="圖片 0">
            <a:extLst>
              <a:ext uri="{FF2B5EF4-FFF2-40B4-BE49-F238E27FC236}">
                <a16:creationId xmlns:a16="http://schemas.microsoft.com/office/drawing/2014/main" id="{A0AE8B9F-DBD4-F7D6-4B8B-B2C55FE82A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638"/>
            <a:ext cx="493799" cy="1752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" name="Text Box 25">
            <a:extLst>
              <a:ext uri="{FF2B5EF4-FFF2-40B4-BE49-F238E27FC236}">
                <a16:creationId xmlns:a16="http://schemas.microsoft.com/office/drawing/2014/main" id="{98636503-1D4B-45F7-2A94-09329F5F72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</a:t>
            </a: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D</a:t>
            </a:r>
            <a:endParaRPr lang="en-US" altLang="zh-TW" sz="1200" b="1" i="0" u="none" strike="noStrike" spc="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  <a:cs typeface="Times New Roman"/>
            </a:endParaRP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10</xdr:col>
      <xdr:colOff>47625</xdr:colOff>
      <xdr:row>23</xdr:row>
      <xdr:rowOff>39999</xdr:rowOff>
    </xdr:from>
    <xdr:to>
      <xdr:col>18</xdr:col>
      <xdr:colOff>0</xdr:colOff>
      <xdr:row>27</xdr:row>
      <xdr:rowOff>0</xdr:rowOff>
    </xdr:to>
    <xdr:grpSp>
      <xdr:nvGrpSpPr>
        <xdr:cNvPr id="13" name="群組 12">
          <a:extLst>
            <a:ext uri="{FF2B5EF4-FFF2-40B4-BE49-F238E27FC236}">
              <a16:creationId xmlns:a16="http://schemas.microsoft.com/office/drawing/2014/main" id="{3ED773CC-DD6A-485C-BB3F-72C669F5B6A7}"/>
            </a:ext>
          </a:extLst>
        </xdr:cNvPr>
        <xdr:cNvGrpSpPr/>
      </xdr:nvGrpSpPr>
      <xdr:grpSpPr>
        <a:xfrm>
          <a:off x="2935605" y="4657719"/>
          <a:ext cx="2703195" cy="577221"/>
          <a:chOff x="47625" y="8755374"/>
          <a:chExt cx="3028950" cy="588651"/>
        </a:xfrm>
      </xdr:grpSpPr>
      <xdr:pic>
        <xdr:nvPicPr>
          <xdr:cNvPr id="14" name="圖片 0">
            <a:extLst>
              <a:ext uri="{FF2B5EF4-FFF2-40B4-BE49-F238E27FC236}">
                <a16:creationId xmlns:a16="http://schemas.microsoft.com/office/drawing/2014/main" id="{D69ADA23-2E37-D82C-75B8-6095DDE896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5" name="Text Box 25">
            <a:extLst>
              <a:ext uri="{FF2B5EF4-FFF2-40B4-BE49-F238E27FC236}">
                <a16:creationId xmlns:a16="http://schemas.microsoft.com/office/drawing/2014/main" id="{3329A9E9-95AF-36DB-F935-6ED466E336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47625</xdr:colOff>
      <xdr:row>23</xdr:row>
      <xdr:rowOff>39999</xdr:rowOff>
    </xdr:from>
    <xdr:to>
      <xdr:col>27</xdr:col>
      <xdr:colOff>0</xdr:colOff>
      <xdr:row>27</xdr:row>
      <xdr:rowOff>0</xdr:rowOff>
    </xdr:to>
    <xdr:grpSp>
      <xdr:nvGrpSpPr>
        <xdr:cNvPr id="16" name="群組 15">
          <a:extLst>
            <a:ext uri="{FF2B5EF4-FFF2-40B4-BE49-F238E27FC236}">
              <a16:creationId xmlns:a16="http://schemas.microsoft.com/office/drawing/2014/main" id="{C1D72406-D6E4-465A-BD01-05BFCB84027C}"/>
            </a:ext>
          </a:extLst>
        </xdr:cNvPr>
        <xdr:cNvGrpSpPr/>
      </xdr:nvGrpSpPr>
      <xdr:grpSpPr>
        <a:xfrm>
          <a:off x="5747385" y="4657719"/>
          <a:ext cx="2703195" cy="577221"/>
          <a:chOff x="47625" y="8755374"/>
          <a:chExt cx="3028950" cy="588651"/>
        </a:xfrm>
      </xdr:grpSpPr>
      <xdr:pic>
        <xdr:nvPicPr>
          <xdr:cNvPr id="17" name="圖片 0">
            <a:extLst>
              <a:ext uri="{FF2B5EF4-FFF2-40B4-BE49-F238E27FC236}">
                <a16:creationId xmlns:a16="http://schemas.microsoft.com/office/drawing/2014/main" id="{60198826-A2B1-4F5E-3467-F2190832895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8" name="Text Box 25">
            <a:extLst>
              <a:ext uri="{FF2B5EF4-FFF2-40B4-BE49-F238E27FC236}">
                <a16:creationId xmlns:a16="http://schemas.microsoft.com/office/drawing/2014/main" id="{951BC7C6-5EDA-A2BD-29EB-9F56C98ADB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</xdr:col>
      <xdr:colOff>47625</xdr:colOff>
      <xdr:row>45</xdr:row>
      <xdr:rowOff>39999</xdr:rowOff>
    </xdr:from>
    <xdr:to>
      <xdr:col>9</xdr:col>
      <xdr:colOff>1905</xdr:colOff>
      <xdr:row>49</xdr:row>
      <xdr:rowOff>0</xdr:rowOff>
    </xdr:to>
    <xdr:grpSp>
      <xdr:nvGrpSpPr>
        <xdr:cNvPr id="19" name="群組 18">
          <a:extLst>
            <a:ext uri="{FF2B5EF4-FFF2-40B4-BE49-F238E27FC236}">
              <a16:creationId xmlns:a16="http://schemas.microsoft.com/office/drawing/2014/main" id="{33B98EEC-6AA2-4DB5-AF6A-E40433FED23F}"/>
            </a:ext>
          </a:extLst>
        </xdr:cNvPr>
        <xdr:cNvGrpSpPr/>
      </xdr:nvGrpSpPr>
      <xdr:grpSpPr>
        <a:xfrm>
          <a:off x="108585" y="9222099"/>
          <a:ext cx="2720340" cy="577221"/>
          <a:chOff x="47625" y="8755374"/>
          <a:chExt cx="3028950" cy="588651"/>
        </a:xfrm>
      </xdr:grpSpPr>
      <xdr:pic>
        <xdr:nvPicPr>
          <xdr:cNvPr id="20" name="圖片 0">
            <a:extLst>
              <a:ext uri="{FF2B5EF4-FFF2-40B4-BE49-F238E27FC236}">
                <a16:creationId xmlns:a16="http://schemas.microsoft.com/office/drawing/2014/main" id="{16574C32-AFDD-F585-4679-F832128083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638"/>
            <a:ext cx="493799" cy="1752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21" name="Text Box 25">
            <a:extLst>
              <a:ext uri="{FF2B5EF4-FFF2-40B4-BE49-F238E27FC236}">
                <a16:creationId xmlns:a16="http://schemas.microsoft.com/office/drawing/2014/main" id="{41B8BD17-3B03-615D-8BD0-026FAE08C51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10</xdr:col>
      <xdr:colOff>47625</xdr:colOff>
      <xdr:row>45</xdr:row>
      <xdr:rowOff>39999</xdr:rowOff>
    </xdr:from>
    <xdr:to>
      <xdr:col>18</xdr:col>
      <xdr:colOff>0</xdr:colOff>
      <xdr:row>49</xdr:row>
      <xdr:rowOff>0</xdr:rowOff>
    </xdr:to>
    <xdr:grpSp>
      <xdr:nvGrpSpPr>
        <xdr:cNvPr id="22" name="群組 21">
          <a:extLst>
            <a:ext uri="{FF2B5EF4-FFF2-40B4-BE49-F238E27FC236}">
              <a16:creationId xmlns:a16="http://schemas.microsoft.com/office/drawing/2014/main" id="{2531C798-A68F-469F-96F5-DD84F0CAE13E}"/>
            </a:ext>
          </a:extLst>
        </xdr:cNvPr>
        <xdr:cNvGrpSpPr/>
      </xdr:nvGrpSpPr>
      <xdr:grpSpPr>
        <a:xfrm>
          <a:off x="2935605" y="9222099"/>
          <a:ext cx="2703195" cy="577221"/>
          <a:chOff x="47625" y="8755374"/>
          <a:chExt cx="3028950" cy="588651"/>
        </a:xfrm>
      </xdr:grpSpPr>
      <xdr:pic>
        <xdr:nvPicPr>
          <xdr:cNvPr id="23" name="圖片 0">
            <a:extLst>
              <a:ext uri="{FF2B5EF4-FFF2-40B4-BE49-F238E27FC236}">
                <a16:creationId xmlns:a16="http://schemas.microsoft.com/office/drawing/2014/main" id="{09DBB845-3C44-6F02-2C56-AEB82EE18D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24" name="Text Box 25">
            <a:extLst>
              <a:ext uri="{FF2B5EF4-FFF2-40B4-BE49-F238E27FC236}">
                <a16:creationId xmlns:a16="http://schemas.microsoft.com/office/drawing/2014/main" id="{06CA1B23-2DAE-ECFB-08C4-62CB9D172D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47625</xdr:colOff>
      <xdr:row>45</xdr:row>
      <xdr:rowOff>39999</xdr:rowOff>
    </xdr:from>
    <xdr:to>
      <xdr:col>27</xdr:col>
      <xdr:colOff>0</xdr:colOff>
      <xdr:row>49</xdr:row>
      <xdr:rowOff>0</xdr:rowOff>
    </xdr:to>
    <xdr:grpSp>
      <xdr:nvGrpSpPr>
        <xdr:cNvPr id="25" name="群組 24">
          <a:extLst>
            <a:ext uri="{FF2B5EF4-FFF2-40B4-BE49-F238E27FC236}">
              <a16:creationId xmlns:a16="http://schemas.microsoft.com/office/drawing/2014/main" id="{0512F113-FB9D-48EB-B520-BA049E0005E6}"/>
            </a:ext>
          </a:extLst>
        </xdr:cNvPr>
        <xdr:cNvGrpSpPr/>
      </xdr:nvGrpSpPr>
      <xdr:grpSpPr>
        <a:xfrm>
          <a:off x="5747385" y="9222099"/>
          <a:ext cx="2703195" cy="577221"/>
          <a:chOff x="47625" y="8755374"/>
          <a:chExt cx="3028950" cy="588651"/>
        </a:xfrm>
      </xdr:grpSpPr>
      <xdr:pic>
        <xdr:nvPicPr>
          <xdr:cNvPr id="26" name="圖片 0">
            <a:extLst>
              <a:ext uri="{FF2B5EF4-FFF2-40B4-BE49-F238E27FC236}">
                <a16:creationId xmlns:a16="http://schemas.microsoft.com/office/drawing/2014/main" id="{0487D403-78BD-4824-7D57-A077F0BA21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7625" y="8892893"/>
            <a:ext cx="495515" cy="175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27" name="Text Box 25">
            <a:extLst>
              <a:ext uri="{FF2B5EF4-FFF2-40B4-BE49-F238E27FC236}">
                <a16:creationId xmlns:a16="http://schemas.microsoft.com/office/drawing/2014/main" id="{02D36A8D-3CC7-F74A-2352-2BEC3A746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8241" y="8755374"/>
            <a:ext cx="2628334" cy="5886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200" b="1" i="0" u="none" strike="noStrike" spc="-100" baseline="0">
                <a:solidFill>
                  <a:srgbClr val="000000"/>
                </a:solidFill>
                <a:latin typeface="標楷體" pitchFamily="65" charset="-120"/>
                <a:ea typeface="標楷體" pitchFamily="65" charset="-120"/>
              </a:rPr>
              <a:t>金 兆 益 科 技 股 份 有 限 公 司</a:t>
            </a:r>
            <a:endParaRPr lang="en-US" altLang="zh-TW" sz="1200" b="1" i="0" u="none" strike="noStrike" spc="-100" baseline="0">
              <a:solidFill>
                <a:srgbClr val="000000"/>
              </a:solidFill>
              <a:latin typeface="標楷體" pitchFamily="65" charset="-120"/>
              <a:ea typeface="標楷體" pitchFamily="65" charset="-120"/>
            </a:endParaRPr>
          </a:p>
          <a:p>
            <a:pPr algn="ctr" rtl="0">
              <a:lnSpc>
                <a:spcPts val="2000"/>
              </a:lnSpc>
              <a:defRPr sz="1000"/>
            </a:pPr>
            <a:r>
              <a:rPr lang="en-US" altLang="zh-TW" sz="1200" b="1" i="0" u="none" strike="noStrike" spc="0" baseline="0">
                <a:solidFill>
                  <a:srgbClr val="000000"/>
                </a:solidFill>
                <a:latin typeface="Times New Roman" panose="02020603050405020304" pitchFamily="18" charset="0"/>
                <a:ea typeface="標楷體" pitchFamily="65" charset="-120"/>
                <a:cs typeface="Times New Roman" panose="02020603050405020304" pitchFamily="18" charset="0"/>
              </a:rPr>
              <a:t>New-Fast Technology Co., LTD</a:t>
            </a:r>
          </a:p>
          <a:p>
            <a:pPr algn="l" rtl="0">
              <a:defRPr sz="1000"/>
            </a:pPr>
            <a:endParaRPr lang="en-US" altLang="zh-TW" sz="1000" b="0" i="0" u="none" strike="noStrike" spc="-100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wfastsemi-my.sharepoint.com/personal/becky_chen_newfast-semi_com/Documents/Becky/&#36039;&#31649;&#36039;&#26009;/&#23560;&#26696;&#24037;&#20316;/IN%20PROGRESS/&#37628;&#29942;&#29983;&#29986;/&#21443;&#32771;&#36039;&#26009;/Report_STD_Cylinder_COA_9com_format_20240417A.xlsx" TargetMode="External"/><Relationship Id="rId1" Type="http://schemas.openxmlformats.org/officeDocument/2006/relationships/externalLinkPath" Target="&#21443;&#32771;&#36039;&#26009;/Report_STD_Cylinder_COA_9com_format_20240417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-11"/>
      <sheetName val="Report-L"/>
      <sheetName val="autofill"/>
      <sheetName val="Report"/>
    </sheetNames>
    <sheetDataSet>
      <sheetData sheetId="0"/>
      <sheetData sheetId="1"/>
      <sheetData sheetId="2">
        <row r="2">
          <cell r="B2" t="str">
            <v>編號</v>
          </cell>
          <cell r="G2" t="str">
            <v>Result</v>
          </cell>
          <cell r="H2" t="str">
            <v>Freon114</v>
          </cell>
          <cell r="I2" t="str">
            <v>Freon11.(ppb)</v>
          </cell>
          <cell r="J2" t="str">
            <v>Acetone</v>
          </cell>
          <cell r="K2" t="str">
            <v>IPA</v>
          </cell>
          <cell r="L2" t="str">
            <v>1,1-Dichloroethene</v>
          </cell>
          <cell r="M2" t="str">
            <v>Freon113</v>
          </cell>
          <cell r="N2" t="str">
            <v>Methylene Chloride</v>
          </cell>
          <cell r="O2" t="str">
            <v>CNF</v>
          </cell>
          <cell r="P2" t="str">
            <v>Cyclopentane</v>
          </cell>
          <cell r="Q2" t="str">
            <v>1,1-Dichloroethane</v>
          </cell>
          <cell r="R2" t="str">
            <v>2-Butanone</v>
          </cell>
          <cell r="S2" t="str">
            <v>cis-1,2-Dichloroethene</v>
          </cell>
          <cell r="T2" t="str">
            <v>Ethyl Acetate</v>
          </cell>
          <cell r="U2" t="str">
            <v>Freon20</v>
          </cell>
          <cell r="V2" t="str">
            <v>1,1,1-Trichloroethane</v>
          </cell>
          <cell r="W2" t="str">
            <v>1,2-Dichloroethane</v>
          </cell>
          <cell r="X2" t="str">
            <v>Benzene</v>
          </cell>
          <cell r="Y2" t="str">
            <v>Carbon Tetrachloride</v>
          </cell>
          <cell r="Z2" t="str">
            <v>Trichloroethylene</v>
          </cell>
          <cell r="AA2" t="str">
            <v>1,2-Dichloropropane</v>
          </cell>
          <cell r="AB2" t="str">
            <v>trans-1,3-Dichloropropene</v>
          </cell>
          <cell r="AC2" t="str">
            <v>cis-1,3-Dichloropropene</v>
          </cell>
          <cell r="AD2" t="str">
            <v>Toluene</v>
          </cell>
          <cell r="AE2" t="str">
            <v>1,1,2-Trichloroethane</v>
          </cell>
          <cell r="AF2" t="str">
            <v>Tetrachloroethylene</v>
          </cell>
          <cell r="AG2" t="str">
            <v>1,2-Dibromoethane</v>
          </cell>
          <cell r="AH2" t="str">
            <v>ChloroBenzene</v>
          </cell>
          <cell r="AI2" t="str">
            <v>Ethylbenzene</v>
          </cell>
          <cell r="AJ2" t="str">
            <v>p-Xylene</v>
          </cell>
          <cell r="AK2" t="str">
            <v>Styrene</v>
          </cell>
          <cell r="AL2" t="str">
            <v>o-Xylene</v>
          </cell>
          <cell r="AM2" t="str">
            <v>1,1,2,2-Tetrachloroethane</v>
          </cell>
          <cell r="AN2" t="str">
            <v>1,3,5-TMB</v>
          </cell>
          <cell r="AO2" t="str">
            <v>1,2,4-TMB</v>
          </cell>
          <cell r="AP2" t="str">
            <v>1,4-Dichlorobenzene</v>
          </cell>
          <cell r="AQ2" t="str">
            <v>1,3-Dichlorobenzene</v>
          </cell>
          <cell r="AR2" t="str">
            <v>1,2-Dichlorobenzene</v>
          </cell>
          <cell r="AS2" t="str">
            <v>1,2,4-TCB</v>
          </cell>
          <cell r="AT2" t="str">
            <v>HCBD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BR67"/>
  <sheetViews>
    <sheetView workbookViewId="0">
      <selection activeCell="O19" sqref="O19:R19"/>
    </sheetView>
  </sheetViews>
  <sheetFormatPr defaultRowHeight="16.2"/>
  <cols>
    <col min="1" max="1" width="0.88671875" customWidth="1"/>
    <col min="2" max="2" width="14.6640625" customWidth="1"/>
    <col min="3" max="3" width="2.6640625" customWidth="1"/>
    <col min="4" max="4" width="2.33203125" customWidth="1"/>
    <col min="5" max="5" width="1.21875" customWidth="1"/>
    <col min="6" max="6" width="2.44140625" customWidth="1"/>
    <col min="8" max="8" width="4.6640625" customWidth="1"/>
    <col min="9" max="9" width="3.44140625" customWidth="1"/>
    <col min="10" max="10" width="0.88671875" customWidth="1"/>
    <col min="11" max="11" width="14.6640625" customWidth="1"/>
    <col min="12" max="12" width="2.6640625" customWidth="1"/>
    <col min="13" max="13" width="2.33203125" customWidth="1"/>
    <col min="14" max="14" width="1.21875" customWidth="1"/>
    <col min="15" max="15" width="2.44140625" customWidth="1"/>
    <col min="17" max="17" width="4.6640625" customWidth="1"/>
    <col min="18" max="18" width="3.21875" customWidth="1"/>
    <col min="19" max="19" width="0.88671875" customWidth="1"/>
    <col min="20" max="20" width="14.6640625" customWidth="1"/>
    <col min="21" max="21" width="2.6640625" customWidth="1"/>
    <col min="22" max="22" width="2.33203125" customWidth="1"/>
    <col min="23" max="23" width="1.21875" customWidth="1"/>
    <col min="24" max="24" width="2.44140625" customWidth="1"/>
    <col min="26" max="26" width="4.6640625" customWidth="1"/>
    <col min="27" max="27" width="3.21875" customWidth="1"/>
    <col min="32" max="32" width="9.6640625" bestFit="1" customWidth="1"/>
  </cols>
  <sheetData>
    <row r="1" spans="1:32" ht="3.75" customHeight="1">
      <c r="A1" t="s">
        <v>12</v>
      </c>
      <c r="J1" t="s">
        <v>12</v>
      </c>
      <c r="S1" s="10" t="s">
        <v>12</v>
      </c>
      <c r="AB1" t="s">
        <v>12</v>
      </c>
    </row>
    <row r="4" spans="1:32" ht="12" customHeight="1"/>
    <row r="5" spans="1:32" ht="4.5" customHeight="1"/>
    <row r="6" spans="1:32" s="8" customFormat="1" ht="22.5" customHeight="1">
      <c r="B6" s="9" t="s">
        <v>13</v>
      </c>
      <c r="C6" s="9"/>
      <c r="F6" s="19"/>
      <c r="G6" s="19"/>
      <c r="H6" s="19"/>
      <c r="K6" s="9" t="str">
        <f>$B$6</f>
        <v xml:space="preserve">NF-SEMI STD  : </v>
      </c>
      <c r="L6" s="9"/>
      <c r="O6" s="19"/>
      <c r="P6" s="19"/>
      <c r="Q6" s="19"/>
      <c r="T6" s="9" t="str">
        <f>$B$6</f>
        <v xml:space="preserve">NF-SEMI STD  : </v>
      </c>
      <c r="U6" s="9"/>
      <c r="X6" s="19"/>
      <c r="Y6" s="19"/>
      <c r="Z6" s="19"/>
    </row>
    <row r="7" spans="1:32">
      <c r="B7" s="1" t="s">
        <v>0</v>
      </c>
      <c r="C7" s="1"/>
      <c r="D7" s="1"/>
      <c r="E7" s="1" t="s">
        <v>1</v>
      </c>
      <c r="F7" s="1"/>
      <c r="G7" s="1"/>
      <c r="H7" s="2"/>
      <c r="I7" s="2"/>
      <c r="J7" s="3"/>
      <c r="K7" s="1" t="str">
        <f>$B$7</f>
        <v xml:space="preserve"> Compounds </v>
      </c>
      <c r="L7" s="1"/>
      <c r="M7" s="1"/>
      <c r="N7" s="1" t="str">
        <f>$E$7</f>
        <v>Analytical Results (ppb)</v>
      </c>
      <c r="O7" s="1"/>
      <c r="P7" s="1"/>
      <c r="Q7" s="2"/>
      <c r="R7" s="2"/>
      <c r="T7" s="1" t="str">
        <f>$B$7</f>
        <v xml:space="preserve"> Compounds </v>
      </c>
      <c r="U7" s="1"/>
      <c r="V7" s="1"/>
      <c r="W7" s="1" t="str">
        <f>$E$7</f>
        <v>Analytical Results (ppb)</v>
      </c>
      <c r="X7" s="1"/>
      <c r="Y7" s="1"/>
      <c r="Z7" s="2"/>
      <c r="AA7" s="2"/>
    </row>
    <row r="8" spans="1:32" ht="22.5" customHeight="1">
      <c r="B8" s="7" t="s">
        <v>2</v>
      </c>
      <c r="C8" s="4"/>
      <c r="D8" s="4"/>
      <c r="E8" s="4"/>
      <c r="F8" s="22"/>
      <c r="G8" s="22"/>
      <c r="H8" s="22"/>
      <c r="I8" s="3"/>
      <c r="J8" s="3"/>
      <c r="K8" s="7" t="str">
        <f>$B$8</f>
        <v xml:space="preserve"> Acetone</v>
      </c>
      <c r="L8" s="4"/>
      <c r="M8" s="4"/>
      <c r="N8" s="4"/>
      <c r="O8" s="22"/>
      <c r="P8" s="22"/>
      <c r="Q8" s="22"/>
      <c r="R8" s="3"/>
      <c r="T8" s="7" t="str">
        <f>$B$8</f>
        <v xml:space="preserve"> Acetone</v>
      </c>
      <c r="U8" s="4"/>
      <c r="V8" s="4"/>
      <c r="W8" s="4"/>
      <c r="X8" s="22"/>
      <c r="Y8" s="22"/>
      <c r="Z8" s="22"/>
      <c r="AA8" s="3"/>
    </row>
    <row r="9" spans="1:32" ht="22.5" customHeight="1">
      <c r="B9" s="7" t="s">
        <v>3</v>
      </c>
      <c r="C9" s="4"/>
      <c r="D9" s="4"/>
      <c r="E9" s="4"/>
      <c r="F9" s="22"/>
      <c r="G9" s="22"/>
      <c r="H9" s="22"/>
      <c r="I9" s="3"/>
      <c r="J9" s="3"/>
      <c r="K9" s="7" t="str">
        <f>$B$9</f>
        <v xml:space="preserve"> IPA</v>
      </c>
      <c r="L9" s="4"/>
      <c r="M9" s="4"/>
      <c r="N9" s="4"/>
      <c r="O9" s="22"/>
      <c r="P9" s="22"/>
      <c r="Q9" s="22"/>
      <c r="R9" s="3"/>
      <c r="T9" s="7" t="str">
        <f>$B$9</f>
        <v xml:space="preserve"> IPA</v>
      </c>
      <c r="U9" s="4"/>
      <c r="V9" s="4"/>
      <c r="W9" s="4"/>
      <c r="X9" s="22"/>
      <c r="Y9" s="22"/>
      <c r="Z9" s="22"/>
      <c r="AA9" s="3"/>
    </row>
    <row r="10" spans="1:32" ht="22.5" customHeight="1">
      <c r="B10" s="7" t="s">
        <v>4</v>
      </c>
      <c r="C10" s="4"/>
      <c r="D10" s="4"/>
      <c r="E10" s="4"/>
      <c r="F10" s="22"/>
      <c r="G10" s="22"/>
      <c r="H10" s="22"/>
      <c r="I10" s="3"/>
      <c r="J10" s="3"/>
      <c r="K10" s="7" t="str">
        <f>$B$10</f>
        <v xml:space="preserve"> CNF</v>
      </c>
      <c r="L10" s="4"/>
      <c r="M10" s="4"/>
      <c r="N10" s="4"/>
      <c r="O10" s="22"/>
      <c r="P10" s="22"/>
      <c r="Q10" s="22"/>
      <c r="R10" s="3"/>
      <c r="T10" s="7" t="str">
        <f>$B$10</f>
        <v xml:space="preserve"> CNF</v>
      </c>
      <c r="U10" s="4"/>
      <c r="V10" s="4"/>
      <c r="W10" s="4"/>
      <c r="X10" s="22"/>
      <c r="Y10" s="22"/>
      <c r="Z10" s="22"/>
      <c r="AA10" s="3"/>
    </row>
    <row r="11" spans="1:32" ht="22.5" customHeight="1">
      <c r="B11" s="7" t="s">
        <v>11</v>
      </c>
      <c r="C11" s="4"/>
      <c r="D11" s="4"/>
      <c r="E11" s="4"/>
      <c r="F11" s="22"/>
      <c r="G11" s="22"/>
      <c r="H11" s="22"/>
      <c r="I11" s="3"/>
      <c r="J11" s="3"/>
      <c r="K11" s="7" t="str">
        <f>$B$11</f>
        <v xml:space="preserve"> Cyclopentane</v>
      </c>
      <c r="L11" s="4"/>
      <c r="M11" s="4"/>
      <c r="N11" s="4"/>
      <c r="O11" s="22"/>
      <c r="P11" s="22"/>
      <c r="Q11" s="22"/>
      <c r="R11" s="3"/>
      <c r="T11" s="7" t="str">
        <f>$B$11</f>
        <v xml:space="preserve"> Cyclopentane</v>
      </c>
      <c r="U11" s="4"/>
      <c r="V11" s="4"/>
      <c r="W11" s="4"/>
      <c r="X11" s="22"/>
      <c r="Y11" s="22"/>
      <c r="Z11" s="22"/>
      <c r="AA11" s="3"/>
    </row>
    <row r="12" spans="1:32" ht="22.5" customHeight="1">
      <c r="B12" s="7" t="s">
        <v>5</v>
      </c>
      <c r="C12" s="4"/>
      <c r="D12" s="4"/>
      <c r="E12" s="4"/>
      <c r="F12" s="22"/>
      <c r="G12" s="22"/>
      <c r="H12" s="22"/>
      <c r="I12" s="3"/>
      <c r="J12" s="3"/>
      <c r="K12" s="7" t="str">
        <f>$B$12</f>
        <v xml:space="preserve"> 2-Butanone</v>
      </c>
      <c r="L12" s="4"/>
      <c r="M12" s="4"/>
      <c r="N12" s="4"/>
      <c r="O12" s="22"/>
      <c r="P12" s="22"/>
      <c r="Q12" s="22"/>
      <c r="R12" s="3"/>
      <c r="T12" s="7" t="str">
        <f>$B$12</f>
        <v xml:space="preserve"> 2-Butanone</v>
      </c>
      <c r="U12" s="4"/>
      <c r="V12" s="4"/>
      <c r="W12" s="4"/>
      <c r="X12" s="22"/>
      <c r="Y12" s="22"/>
      <c r="Z12" s="22"/>
      <c r="AA12" s="3"/>
    </row>
    <row r="13" spans="1:32" ht="22.5" customHeight="1">
      <c r="B13" s="7" t="s">
        <v>6</v>
      </c>
      <c r="C13" s="4"/>
      <c r="D13" s="4"/>
      <c r="E13" s="4"/>
      <c r="F13" s="22"/>
      <c r="G13" s="22"/>
      <c r="H13" s="22"/>
      <c r="I13" s="3"/>
      <c r="J13" s="3"/>
      <c r="K13" s="7" t="str">
        <f>$B$13</f>
        <v xml:space="preserve"> Ethyl Acetate</v>
      </c>
      <c r="L13" s="4"/>
      <c r="M13" s="4"/>
      <c r="N13" s="4"/>
      <c r="O13" s="22"/>
      <c r="P13" s="22"/>
      <c r="Q13" s="22"/>
      <c r="R13" s="3"/>
      <c r="T13" s="7" t="str">
        <f>$B$13</f>
        <v xml:space="preserve"> Ethyl Acetate</v>
      </c>
      <c r="U13" s="4"/>
      <c r="V13" s="4"/>
      <c r="W13" s="4"/>
      <c r="X13" s="22"/>
      <c r="Y13" s="22"/>
      <c r="Z13" s="22"/>
      <c r="AA13" s="3"/>
    </row>
    <row r="14" spans="1:32" ht="22.5" customHeight="1">
      <c r="B14" s="7" t="s">
        <v>7</v>
      </c>
      <c r="C14" s="4"/>
      <c r="D14" s="4"/>
      <c r="E14" s="4"/>
      <c r="F14" s="22"/>
      <c r="G14" s="22"/>
      <c r="H14" s="22"/>
      <c r="I14" s="3"/>
      <c r="J14" s="3"/>
      <c r="K14" s="7" t="str">
        <f>$B$14</f>
        <v xml:space="preserve"> Benzene</v>
      </c>
      <c r="L14" s="4"/>
      <c r="M14" s="4"/>
      <c r="N14" s="4"/>
      <c r="O14" s="22"/>
      <c r="P14" s="22"/>
      <c r="Q14" s="22"/>
      <c r="R14" s="3"/>
      <c r="T14" s="7" t="str">
        <f>$B$14</f>
        <v xml:space="preserve"> Benzene</v>
      </c>
      <c r="U14" s="4"/>
      <c r="V14" s="4"/>
      <c r="W14" s="4"/>
      <c r="X14" s="22"/>
      <c r="Y14" s="22"/>
      <c r="Z14" s="22"/>
      <c r="AA14" s="3"/>
      <c r="AF14" s="11"/>
    </row>
    <row r="15" spans="1:32" ht="22.5" customHeight="1">
      <c r="B15" s="7" t="s">
        <v>8</v>
      </c>
      <c r="C15" s="4"/>
      <c r="D15" s="4"/>
      <c r="E15" s="4"/>
      <c r="F15" s="22"/>
      <c r="G15" s="22"/>
      <c r="H15" s="22"/>
      <c r="I15" s="3"/>
      <c r="J15" s="3"/>
      <c r="K15" s="7" t="str">
        <f>$B$15</f>
        <v xml:space="preserve"> Toluene</v>
      </c>
      <c r="L15" s="4"/>
      <c r="M15" s="4"/>
      <c r="N15" s="4"/>
      <c r="O15" s="22"/>
      <c r="P15" s="22"/>
      <c r="Q15" s="22"/>
      <c r="R15" s="3"/>
      <c r="T15" s="7" t="str">
        <f>$B$15</f>
        <v xml:space="preserve"> Toluene</v>
      </c>
      <c r="U15" s="4"/>
      <c r="V15" s="4"/>
      <c r="W15" s="4"/>
      <c r="X15" s="22"/>
      <c r="Y15" s="22"/>
      <c r="Z15" s="22"/>
      <c r="AA15" s="3"/>
    </row>
    <row r="16" spans="1:32" ht="22.5" customHeight="1">
      <c r="B16" s="7" t="s">
        <v>15</v>
      </c>
      <c r="C16" s="4"/>
      <c r="D16" s="4"/>
      <c r="E16" s="4"/>
      <c r="F16" s="22"/>
      <c r="G16" s="22"/>
      <c r="H16" s="22"/>
      <c r="I16" s="3"/>
      <c r="J16" s="3"/>
      <c r="K16" s="7" t="str">
        <f>$B$16</f>
        <v xml:space="preserve"> 1,2,4-TMB</v>
      </c>
      <c r="L16" s="4"/>
      <c r="M16" s="4"/>
      <c r="N16" s="4"/>
      <c r="O16" s="22"/>
      <c r="P16" s="22"/>
      <c r="Q16" s="22"/>
      <c r="R16" s="3"/>
      <c r="T16" s="7" t="str">
        <f>$B$16</f>
        <v xml:space="preserve"> 1,2,4-TMB</v>
      </c>
      <c r="U16" s="4"/>
      <c r="V16" s="4"/>
      <c r="W16" s="4"/>
      <c r="X16" s="22"/>
      <c r="Y16" s="22"/>
      <c r="Z16" s="22"/>
      <c r="AA16" s="3"/>
    </row>
    <row r="17" spans="1:28" ht="7.5" customHeight="1">
      <c r="B17" s="5"/>
      <c r="C17" s="5"/>
      <c r="D17" s="5"/>
      <c r="E17" s="5"/>
      <c r="F17" s="5"/>
      <c r="G17" s="5"/>
      <c r="H17" s="5"/>
      <c r="I17" s="5"/>
      <c r="J17" s="3"/>
      <c r="K17" s="5"/>
      <c r="L17" s="5"/>
      <c r="M17" s="5"/>
      <c r="N17" s="5"/>
      <c r="O17" s="5"/>
      <c r="P17" s="5"/>
      <c r="Q17" s="5"/>
      <c r="R17" s="5"/>
      <c r="T17" s="5"/>
      <c r="U17" s="5"/>
      <c r="V17" s="5"/>
      <c r="W17" s="5"/>
      <c r="X17" s="5"/>
      <c r="Y17" s="5"/>
      <c r="Z17" s="5"/>
      <c r="AA17" s="5"/>
    </row>
    <row r="18" spans="1:28" ht="4.5" customHeight="1">
      <c r="B18" s="4"/>
      <c r="C18" s="4"/>
      <c r="D18" s="4"/>
      <c r="E18" s="4"/>
      <c r="F18" s="4"/>
      <c r="G18" s="4"/>
      <c r="H18" s="4"/>
      <c r="I18" s="4"/>
      <c r="J18" s="3"/>
      <c r="K18" s="4"/>
      <c r="L18" s="4"/>
      <c r="M18" s="4"/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</row>
    <row r="19" spans="1:28">
      <c r="B19" s="20" t="s">
        <v>18</v>
      </c>
      <c r="C19" s="20"/>
      <c r="D19" s="20"/>
      <c r="E19" s="20"/>
      <c r="F19" s="21" t="s">
        <v>20</v>
      </c>
      <c r="G19" s="21"/>
      <c r="H19" s="21"/>
      <c r="I19" s="21"/>
      <c r="J19" s="3"/>
      <c r="K19" s="20" t="s">
        <v>18</v>
      </c>
      <c r="L19" s="20"/>
      <c r="M19" s="20"/>
      <c r="N19" s="20"/>
      <c r="O19" s="21" t="s">
        <v>20</v>
      </c>
      <c r="P19" s="21"/>
      <c r="Q19" s="21"/>
      <c r="R19" s="21"/>
      <c r="T19" s="20" t="s">
        <v>18</v>
      </c>
      <c r="U19" s="20"/>
      <c r="V19" s="20"/>
      <c r="W19" s="20"/>
      <c r="X19" s="21" t="s">
        <v>20</v>
      </c>
      <c r="Y19" s="21"/>
      <c r="Z19" s="21"/>
      <c r="AA19" s="21"/>
    </row>
    <row r="20" spans="1:28" ht="16.5" customHeight="1">
      <c r="B20" s="18" t="s">
        <v>21</v>
      </c>
      <c r="C20" s="18"/>
      <c r="D20" s="18"/>
      <c r="E20" s="18"/>
      <c r="F20" s="18"/>
      <c r="G20" s="4"/>
      <c r="H20" s="4"/>
      <c r="I20" s="3"/>
      <c r="J20" s="3"/>
      <c r="K20" s="18" t="s">
        <v>21</v>
      </c>
      <c r="L20" s="18"/>
      <c r="M20" s="18"/>
      <c r="N20" s="18"/>
      <c r="O20" s="18"/>
      <c r="P20" s="4"/>
      <c r="Q20" s="4"/>
      <c r="R20" s="3"/>
      <c r="T20" s="18" t="s">
        <v>21</v>
      </c>
      <c r="U20" s="18"/>
      <c r="V20" s="18"/>
      <c r="W20" s="18"/>
      <c r="X20" s="18"/>
      <c r="Y20" s="4"/>
      <c r="Z20" s="4"/>
      <c r="AA20" s="3"/>
    </row>
    <row r="21" spans="1:28" ht="9.75" customHeight="1">
      <c r="B21" s="6"/>
      <c r="C21" s="6"/>
      <c r="D21" s="6"/>
      <c r="F21" s="6"/>
      <c r="G21" s="19"/>
      <c r="H21" s="19"/>
      <c r="I21" s="19"/>
      <c r="K21" s="6"/>
      <c r="L21" s="6"/>
      <c r="M21" s="6"/>
      <c r="O21" s="6"/>
      <c r="P21" s="19"/>
      <c r="Q21" s="19"/>
      <c r="R21" s="19"/>
      <c r="T21" s="6"/>
      <c r="U21" s="6"/>
      <c r="V21" s="6"/>
      <c r="X21" s="6"/>
      <c r="Y21" s="19"/>
      <c r="Z21" s="19"/>
      <c r="AA21" s="19"/>
    </row>
    <row r="22" spans="1:28">
      <c r="B22" s="16" t="s">
        <v>9</v>
      </c>
      <c r="C22" s="16"/>
      <c r="D22" s="16"/>
      <c r="F22" s="17" t="s">
        <v>10</v>
      </c>
      <c r="G22" s="17"/>
      <c r="H22" s="17"/>
      <c r="I22" s="17"/>
      <c r="K22" s="16" t="str">
        <f>$B$22</f>
        <v>安裝Engineer  Signature  / Date</v>
      </c>
      <c r="L22" s="16"/>
      <c r="M22" s="16"/>
      <c r="O22" s="17" t="str">
        <f>$F$22</f>
        <v>Authorized Signature  / Date</v>
      </c>
      <c r="P22" s="17"/>
      <c r="Q22" s="17"/>
      <c r="R22" s="17"/>
      <c r="T22" s="16" t="str">
        <f>$B$22</f>
        <v>安裝Engineer  Signature  / Date</v>
      </c>
      <c r="U22" s="16"/>
      <c r="V22" s="16"/>
      <c r="X22" s="17" t="str">
        <f>$F$22</f>
        <v>Authorized Signature  / Date</v>
      </c>
      <c r="Y22" s="17"/>
      <c r="Z22" s="17"/>
      <c r="AA22" s="17"/>
    </row>
    <row r="23" spans="1:28" ht="3.75" customHeight="1">
      <c r="A23" t="s">
        <v>12</v>
      </c>
      <c r="J23" t="s">
        <v>12</v>
      </c>
      <c r="S23" t="s">
        <v>12</v>
      </c>
      <c r="AB23" t="s">
        <v>12</v>
      </c>
    </row>
    <row r="26" spans="1:28" ht="12" customHeight="1"/>
    <row r="27" spans="1:28" ht="4.5" customHeight="1"/>
    <row r="28" spans="1:28" s="8" customFormat="1" ht="22.5" customHeight="1">
      <c r="B28" s="9" t="str">
        <f>$B$6</f>
        <v xml:space="preserve">NF-SEMI STD  : </v>
      </c>
      <c r="C28" s="9"/>
      <c r="F28" s="19"/>
      <c r="G28" s="19"/>
      <c r="H28" s="19"/>
      <c r="K28" s="9" t="str">
        <f>$B$6</f>
        <v xml:space="preserve">NF-SEMI STD  : </v>
      </c>
      <c r="L28" s="9"/>
      <c r="O28" s="19"/>
      <c r="P28" s="19"/>
      <c r="Q28" s="19"/>
      <c r="T28" s="9" t="str">
        <f>$B$6</f>
        <v xml:space="preserve">NF-SEMI STD  : </v>
      </c>
      <c r="U28" s="9"/>
      <c r="X28" s="19"/>
      <c r="Y28" s="19"/>
      <c r="Z28" s="19"/>
    </row>
    <row r="29" spans="1:28">
      <c r="B29" s="1" t="str">
        <f>$B$7</f>
        <v xml:space="preserve"> Compounds </v>
      </c>
      <c r="C29" s="1"/>
      <c r="D29" s="1"/>
      <c r="E29" s="1" t="str">
        <f>$E$7</f>
        <v>Analytical Results (ppb)</v>
      </c>
      <c r="F29" s="1"/>
      <c r="G29" s="1"/>
      <c r="H29" s="2"/>
      <c r="I29" s="2"/>
      <c r="J29" s="3"/>
      <c r="K29" s="1" t="str">
        <f>$B$7</f>
        <v xml:space="preserve"> Compounds </v>
      </c>
      <c r="L29" s="1"/>
      <c r="M29" s="1"/>
      <c r="N29" s="1" t="str">
        <f>$E$7</f>
        <v>Analytical Results (ppb)</v>
      </c>
      <c r="O29" s="1"/>
      <c r="P29" s="1"/>
      <c r="Q29" s="2"/>
      <c r="R29" s="2"/>
      <c r="T29" s="1" t="str">
        <f>$B$7</f>
        <v xml:space="preserve"> Compounds </v>
      </c>
      <c r="U29" s="1"/>
      <c r="V29" s="1"/>
      <c r="W29" s="1" t="str">
        <f>$E$7</f>
        <v>Analytical Results (ppb)</v>
      </c>
      <c r="X29" s="1"/>
      <c r="Y29" s="1"/>
      <c r="Z29" s="2"/>
      <c r="AA29" s="2"/>
    </row>
    <row r="30" spans="1:28" ht="22.5" customHeight="1">
      <c r="B30" s="7" t="str">
        <f>$B$8</f>
        <v xml:space="preserve"> Acetone</v>
      </c>
      <c r="C30" s="4"/>
      <c r="D30" s="4"/>
      <c r="E30" s="4"/>
      <c r="F30" s="22"/>
      <c r="G30" s="22"/>
      <c r="H30" s="22"/>
      <c r="I30" s="3"/>
      <c r="J30" s="3"/>
      <c r="K30" s="7" t="str">
        <f>$B$8</f>
        <v xml:space="preserve"> Acetone</v>
      </c>
      <c r="L30" s="4"/>
      <c r="M30" s="4"/>
      <c r="N30" s="4"/>
      <c r="O30" s="22"/>
      <c r="P30" s="22"/>
      <c r="Q30" s="22"/>
      <c r="R30" s="3"/>
      <c r="T30" s="7" t="str">
        <f>$B$8</f>
        <v xml:space="preserve"> Acetone</v>
      </c>
      <c r="U30" s="4"/>
      <c r="V30" s="4"/>
      <c r="W30" s="4"/>
      <c r="X30" s="22"/>
      <c r="Y30" s="22"/>
      <c r="Z30" s="22"/>
      <c r="AA30" s="3"/>
    </row>
    <row r="31" spans="1:28" ht="22.5" customHeight="1">
      <c r="B31" s="7" t="str">
        <f>$B$9</f>
        <v xml:space="preserve"> IPA</v>
      </c>
      <c r="C31" s="4"/>
      <c r="D31" s="4"/>
      <c r="E31" s="4"/>
      <c r="F31" s="22"/>
      <c r="G31" s="22"/>
      <c r="H31" s="22"/>
      <c r="I31" s="3"/>
      <c r="J31" s="3"/>
      <c r="K31" s="7" t="str">
        <f>$B$9</f>
        <v xml:space="preserve"> IPA</v>
      </c>
      <c r="L31" s="4"/>
      <c r="M31" s="4"/>
      <c r="N31" s="4"/>
      <c r="O31" s="22"/>
      <c r="P31" s="22"/>
      <c r="Q31" s="22"/>
      <c r="R31" s="3"/>
      <c r="T31" s="7" t="str">
        <f>$B$9</f>
        <v xml:space="preserve"> IPA</v>
      </c>
      <c r="U31" s="4"/>
      <c r="V31" s="4"/>
      <c r="W31" s="4"/>
      <c r="X31" s="22"/>
      <c r="Y31" s="22"/>
      <c r="Z31" s="22"/>
      <c r="AA31" s="3"/>
      <c r="AB31" t="s">
        <v>14</v>
      </c>
    </row>
    <row r="32" spans="1:28" ht="22.5" customHeight="1">
      <c r="B32" s="7" t="str">
        <f>$B$10</f>
        <v xml:space="preserve"> CNF</v>
      </c>
      <c r="C32" s="4"/>
      <c r="D32" s="4"/>
      <c r="E32" s="4"/>
      <c r="F32" s="22"/>
      <c r="G32" s="22"/>
      <c r="H32" s="22"/>
      <c r="I32" s="3"/>
      <c r="J32" s="3"/>
      <c r="K32" s="7" t="str">
        <f>$B$10</f>
        <v xml:space="preserve"> CNF</v>
      </c>
      <c r="L32" s="4"/>
      <c r="M32" s="4"/>
      <c r="N32" s="4"/>
      <c r="O32" s="22"/>
      <c r="P32" s="22"/>
      <c r="Q32" s="22"/>
      <c r="R32" s="3"/>
      <c r="T32" s="7" t="str">
        <f>$B$10</f>
        <v xml:space="preserve"> CNF</v>
      </c>
      <c r="U32" s="4"/>
      <c r="V32" s="4"/>
      <c r="W32" s="4"/>
      <c r="X32" s="22"/>
      <c r="Y32" s="22"/>
      <c r="Z32" s="22"/>
      <c r="AA32" s="3"/>
    </row>
    <row r="33" spans="1:70" ht="22.5" customHeight="1">
      <c r="B33" s="7" t="str">
        <f>$B$11</f>
        <v xml:space="preserve"> Cyclopentane</v>
      </c>
      <c r="C33" s="4"/>
      <c r="D33" s="4"/>
      <c r="E33" s="4"/>
      <c r="F33" s="22"/>
      <c r="G33" s="22"/>
      <c r="H33" s="22"/>
      <c r="I33" s="3"/>
      <c r="J33" s="3"/>
      <c r="K33" s="7" t="str">
        <f>$B$11</f>
        <v xml:space="preserve"> Cyclopentane</v>
      </c>
      <c r="L33" s="4"/>
      <c r="M33" s="4"/>
      <c r="N33" s="4"/>
      <c r="O33" s="22"/>
      <c r="P33" s="22"/>
      <c r="Q33" s="22"/>
      <c r="R33" s="3"/>
      <c r="T33" s="7" t="str">
        <f>$B$11</f>
        <v xml:space="preserve"> Cyclopentane</v>
      </c>
      <c r="U33" s="4"/>
      <c r="V33" s="4"/>
      <c r="W33" s="4"/>
      <c r="X33" s="22"/>
      <c r="Y33" s="22"/>
      <c r="Z33" s="22"/>
      <c r="AA33" s="3"/>
    </row>
    <row r="34" spans="1:70" ht="22.5" customHeight="1">
      <c r="B34" s="7" t="str">
        <f>$B$12</f>
        <v xml:space="preserve"> 2-Butanone</v>
      </c>
      <c r="C34" s="4"/>
      <c r="D34" s="4"/>
      <c r="E34" s="4"/>
      <c r="F34" s="22"/>
      <c r="G34" s="22"/>
      <c r="H34" s="22"/>
      <c r="I34" s="3"/>
      <c r="J34" s="3"/>
      <c r="K34" s="7" t="str">
        <f>$B$12</f>
        <v xml:space="preserve"> 2-Butanone</v>
      </c>
      <c r="L34" s="4"/>
      <c r="M34" s="4"/>
      <c r="N34" s="4"/>
      <c r="O34" s="22"/>
      <c r="P34" s="22"/>
      <c r="Q34" s="22"/>
      <c r="R34" s="3"/>
      <c r="T34" s="7" t="str">
        <f>$B$12</f>
        <v xml:space="preserve"> 2-Butanone</v>
      </c>
      <c r="U34" s="4"/>
      <c r="V34" s="4"/>
      <c r="W34" s="4"/>
      <c r="X34" s="22"/>
      <c r="Y34" s="22"/>
      <c r="Z34" s="22"/>
      <c r="AA34" s="3"/>
      <c r="AF34" s="12"/>
      <c r="AG34" s="13"/>
      <c r="AH34" s="14"/>
      <c r="AI34" s="14"/>
      <c r="AJ34" s="12"/>
      <c r="AK34" s="12"/>
      <c r="AL34" s="12"/>
      <c r="AM34" s="14"/>
      <c r="AN34" s="14"/>
      <c r="AO34" s="12"/>
      <c r="AP34" s="14"/>
      <c r="AQ34" s="12"/>
      <c r="AR34" s="14"/>
      <c r="AS34" s="12"/>
      <c r="AT34" s="12"/>
      <c r="AU34" s="12"/>
      <c r="AV34" s="14"/>
      <c r="AW34" s="14"/>
      <c r="AX34" s="12"/>
      <c r="AY34" s="12"/>
      <c r="AZ34" s="12"/>
      <c r="BA34" s="15"/>
      <c r="BB34" s="14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4"/>
      <c r="BN34" s="12"/>
      <c r="BO34" s="12"/>
      <c r="BP34" s="12"/>
      <c r="BQ34" s="14"/>
      <c r="BR34" s="12"/>
    </row>
    <row r="35" spans="1:70" ht="22.5" customHeight="1">
      <c r="B35" s="7" t="str">
        <f>$B$13</f>
        <v xml:space="preserve"> Ethyl Acetate</v>
      </c>
      <c r="C35" s="4"/>
      <c r="D35" s="4"/>
      <c r="E35" s="4"/>
      <c r="F35" s="22"/>
      <c r="G35" s="22"/>
      <c r="H35" s="22"/>
      <c r="I35" s="3"/>
      <c r="J35" s="3"/>
      <c r="K35" s="7" t="str">
        <f>$B$13</f>
        <v xml:space="preserve"> Ethyl Acetate</v>
      </c>
      <c r="L35" s="4"/>
      <c r="M35" s="4"/>
      <c r="N35" s="4"/>
      <c r="O35" s="22"/>
      <c r="P35" s="22"/>
      <c r="Q35" s="22"/>
      <c r="R35" s="3"/>
      <c r="T35" s="7" t="str">
        <f>$B$13</f>
        <v xml:space="preserve"> Ethyl Acetate</v>
      </c>
      <c r="U35" s="4"/>
      <c r="V35" s="4"/>
      <c r="W35" s="4"/>
      <c r="X35" s="22"/>
      <c r="Y35" s="22"/>
      <c r="Z35" s="22"/>
      <c r="AA35" s="3"/>
      <c r="AF35" s="12"/>
      <c r="AG35" s="13"/>
      <c r="AH35" s="14"/>
      <c r="AI35" s="14"/>
      <c r="AJ35" s="12"/>
      <c r="AK35" s="12"/>
      <c r="AL35" s="12"/>
      <c r="AM35" s="14"/>
      <c r="AN35" s="14"/>
      <c r="AO35" s="12"/>
      <c r="AP35" s="14"/>
      <c r="AQ35" s="12"/>
      <c r="AR35" s="14"/>
      <c r="AS35" s="12"/>
      <c r="AT35" s="12"/>
      <c r="AU35" s="12"/>
      <c r="AV35" s="14"/>
      <c r="AW35" s="14"/>
      <c r="AX35" s="12"/>
      <c r="AY35" s="12"/>
      <c r="AZ35" s="12"/>
      <c r="BA35" s="12"/>
      <c r="BB35" s="14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4"/>
      <c r="BN35" s="12"/>
      <c r="BO35" s="12"/>
      <c r="BP35" s="12"/>
      <c r="BQ35" s="14"/>
      <c r="BR35" s="12"/>
    </row>
    <row r="36" spans="1:70" ht="22.5" customHeight="1">
      <c r="B36" s="7" t="str">
        <f>$B$14</f>
        <v xml:space="preserve"> Benzene</v>
      </c>
      <c r="C36" s="4"/>
      <c r="D36" s="4"/>
      <c r="E36" s="4"/>
      <c r="F36" s="22"/>
      <c r="G36" s="22"/>
      <c r="H36" s="22"/>
      <c r="I36" s="3"/>
      <c r="J36" s="3"/>
      <c r="K36" s="7" t="str">
        <f>$B$14</f>
        <v xml:space="preserve"> Benzene</v>
      </c>
      <c r="L36" s="4"/>
      <c r="M36" s="4"/>
      <c r="N36" s="4"/>
      <c r="O36" s="22"/>
      <c r="P36" s="22"/>
      <c r="Q36" s="22"/>
      <c r="R36" s="3"/>
      <c r="T36" s="7" t="str">
        <f>$B$14</f>
        <v xml:space="preserve"> Benzene</v>
      </c>
      <c r="U36" s="4"/>
      <c r="V36" s="4"/>
      <c r="W36" s="4"/>
      <c r="X36" s="22"/>
      <c r="Y36" s="22"/>
      <c r="Z36" s="22"/>
      <c r="AA36" s="3"/>
    </row>
    <row r="37" spans="1:70" ht="22.5" customHeight="1">
      <c r="B37" s="7" t="str">
        <f>$B$15</f>
        <v xml:space="preserve"> Toluene</v>
      </c>
      <c r="C37" s="4"/>
      <c r="D37" s="4"/>
      <c r="E37" s="4"/>
      <c r="F37" s="22"/>
      <c r="G37" s="22"/>
      <c r="H37" s="22"/>
      <c r="I37" s="3"/>
      <c r="J37" s="3"/>
      <c r="K37" s="7" t="str">
        <f>$B$15</f>
        <v xml:space="preserve"> Toluene</v>
      </c>
      <c r="L37" s="4"/>
      <c r="M37" s="4"/>
      <c r="N37" s="4"/>
      <c r="O37" s="22"/>
      <c r="P37" s="22"/>
      <c r="Q37" s="22"/>
      <c r="R37" s="3"/>
      <c r="T37" s="7" t="str">
        <f>$B$15</f>
        <v xml:space="preserve"> Toluene</v>
      </c>
      <c r="U37" s="4"/>
      <c r="V37" s="4"/>
      <c r="W37" s="4"/>
      <c r="X37" s="22"/>
      <c r="Y37" s="22"/>
      <c r="Z37" s="22"/>
      <c r="AA37" s="3"/>
    </row>
    <row r="38" spans="1:70" ht="22.5" customHeight="1">
      <c r="B38" s="7" t="str">
        <f>$B$16</f>
        <v xml:space="preserve"> 1,2,4-TMB</v>
      </c>
      <c r="C38" s="4"/>
      <c r="D38" s="4"/>
      <c r="E38" s="4"/>
      <c r="F38" s="22"/>
      <c r="G38" s="22"/>
      <c r="H38" s="22"/>
      <c r="I38" s="3"/>
      <c r="J38" s="3"/>
      <c r="K38" s="7" t="str">
        <f>$B$16</f>
        <v xml:space="preserve"> 1,2,4-TMB</v>
      </c>
      <c r="L38" s="4"/>
      <c r="M38" s="4"/>
      <c r="N38" s="4"/>
      <c r="O38" s="22"/>
      <c r="P38" s="22"/>
      <c r="Q38" s="22"/>
      <c r="R38" s="3"/>
      <c r="T38" s="7" t="str">
        <f>$B$16</f>
        <v xml:space="preserve"> 1,2,4-TMB</v>
      </c>
      <c r="U38" s="4"/>
      <c r="V38" s="4"/>
      <c r="W38" s="4"/>
      <c r="X38" s="22"/>
      <c r="Y38" s="22"/>
      <c r="Z38" s="22"/>
      <c r="AA38" s="3"/>
    </row>
    <row r="39" spans="1:70" ht="7.5" customHeight="1">
      <c r="B39" s="5"/>
      <c r="C39" s="5"/>
      <c r="D39" s="5"/>
      <c r="E39" s="5"/>
      <c r="F39" s="5"/>
      <c r="G39" s="5"/>
      <c r="H39" s="5"/>
      <c r="I39" s="5"/>
      <c r="J39" s="3"/>
      <c r="K39" s="5"/>
      <c r="L39" s="5"/>
      <c r="M39" s="5"/>
      <c r="N39" s="5"/>
      <c r="O39" s="5"/>
      <c r="P39" s="5"/>
      <c r="Q39" s="5"/>
      <c r="R39" s="5"/>
      <c r="T39" s="5"/>
      <c r="U39" s="5"/>
      <c r="V39" s="5"/>
      <c r="W39" s="5"/>
      <c r="X39" s="5"/>
      <c r="Y39" s="5"/>
      <c r="Z39" s="5"/>
      <c r="AA39" s="5"/>
    </row>
    <row r="40" spans="1:70" ht="4.5" customHeight="1">
      <c r="B40" s="4"/>
      <c r="C40" s="4"/>
      <c r="D40" s="4"/>
      <c r="E40" s="4"/>
      <c r="F40" s="4"/>
      <c r="G40" s="4"/>
      <c r="H40" s="4"/>
      <c r="I40" s="4"/>
      <c r="J40" s="3"/>
      <c r="K40" s="4"/>
      <c r="L40" s="4"/>
      <c r="M40" s="4"/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</row>
    <row r="41" spans="1:70">
      <c r="B41" s="20" t="s">
        <v>17</v>
      </c>
      <c r="C41" s="20"/>
      <c r="D41" s="20"/>
      <c r="E41" s="20"/>
      <c r="F41" s="21" t="s">
        <v>19</v>
      </c>
      <c r="G41" s="21"/>
      <c r="H41" s="21"/>
      <c r="I41" s="21"/>
      <c r="J41" s="3"/>
      <c r="K41" s="20" t="s">
        <v>17</v>
      </c>
      <c r="L41" s="20"/>
      <c r="M41" s="20"/>
      <c r="N41" s="20"/>
      <c r="O41" s="21" t="s">
        <v>19</v>
      </c>
      <c r="P41" s="21"/>
      <c r="Q41" s="21"/>
      <c r="R41" s="21"/>
      <c r="T41" s="20" t="s">
        <v>17</v>
      </c>
      <c r="U41" s="20"/>
      <c r="V41" s="20"/>
      <c r="W41" s="20"/>
      <c r="X41" s="21" t="s">
        <v>19</v>
      </c>
      <c r="Y41" s="21"/>
      <c r="Z41" s="21"/>
      <c r="AA41" s="21"/>
    </row>
    <row r="42" spans="1:70" ht="16.5" customHeight="1">
      <c r="B42" s="18" t="s">
        <v>21</v>
      </c>
      <c r="C42" s="18"/>
      <c r="D42" s="18"/>
      <c r="E42" s="18"/>
      <c r="F42" s="18"/>
      <c r="G42" s="4"/>
      <c r="H42" s="4"/>
      <c r="I42" s="3"/>
      <c r="J42" s="3"/>
      <c r="K42" s="18" t="s">
        <v>21</v>
      </c>
      <c r="L42" s="18"/>
      <c r="M42" s="18"/>
      <c r="N42" s="18"/>
      <c r="O42" s="18"/>
      <c r="P42" s="4"/>
      <c r="Q42" s="4"/>
      <c r="R42" s="3"/>
      <c r="T42" s="18" t="s">
        <v>21</v>
      </c>
      <c r="U42" s="18"/>
      <c r="V42" s="18"/>
      <c r="W42" s="18"/>
      <c r="X42" s="18"/>
      <c r="Y42" s="4"/>
      <c r="Z42" s="4"/>
      <c r="AA42" s="3"/>
    </row>
    <row r="43" spans="1:70" ht="9.75" customHeight="1">
      <c r="B43" s="6"/>
      <c r="C43" s="6"/>
      <c r="D43" s="6"/>
      <c r="F43" s="6"/>
      <c r="G43" s="19"/>
      <c r="H43" s="19"/>
      <c r="I43" s="19"/>
      <c r="K43" s="6"/>
      <c r="L43" s="6"/>
      <c r="M43" s="6"/>
      <c r="O43" s="6"/>
      <c r="P43" s="19"/>
      <c r="Q43" s="19"/>
      <c r="R43" s="19"/>
      <c r="T43" s="6"/>
      <c r="U43" s="6"/>
      <c r="V43" s="6"/>
      <c r="X43" s="6"/>
      <c r="Y43" s="19"/>
      <c r="Z43" s="19"/>
      <c r="AA43" s="19"/>
    </row>
    <row r="44" spans="1:70">
      <c r="B44" s="16" t="str">
        <f>$B$22</f>
        <v>安裝Engineer  Signature  / Date</v>
      </c>
      <c r="C44" s="16"/>
      <c r="D44" s="16"/>
      <c r="F44" s="17" t="str">
        <f>$F$22</f>
        <v>Authorized Signature  / Date</v>
      </c>
      <c r="G44" s="17"/>
      <c r="H44" s="17"/>
      <c r="I44" s="17"/>
      <c r="K44" s="16" t="str">
        <f>$B$22</f>
        <v>安裝Engineer  Signature  / Date</v>
      </c>
      <c r="L44" s="16"/>
      <c r="M44" s="16"/>
      <c r="O44" s="17" t="str">
        <f>$F$22</f>
        <v>Authorized Signature  / Date</v>
      </c>
      <c r="P44" s="17"/>
      <c r="Q44" s="17"/>
      <c r="R44" s="17"/>
      <c r="T44" s="16" t="str">
        <f>$B$22</f>
        <v>安裝Engineer  Signature  / Date</v>
      </c>
      <c r="U44" s="16"/>
      <c r="V44" s="16"/>
      <c r="X44" s="17" t="str">
        <f>$F$22</f>
        <v>Authorized Signature  / Date</v>
      </c>
      <c r="Y44" s="17"/>
      <c r="Z44" s="17"/>
      <c r="AA44" s="17"/>
    </row>
    <row r="45" spans="1:70" ht="3" customHeight="1">
      <c r="A45" t="s">
        <v>12</v>
      </c>
      <c r="J45" t="s">
        <v>12</v>
      </c>
      <c r="S45" t="s">
        <v>12</v>
      </c>
      <c r="AB45" t="s">
        <v>12</v>
      </c>
    </row>
    <row r="48" spans="1:70" ht="12" customHeight="1"/>
    <row r="49" spans="2:27" ht="4.5" customHeight="1"/>
    <row r="50" spans="2:27" s="8" customFormat="1" ht="22.5" customHeight="1">
      <c r="B50" s="9" t="str">
        <f>$B$6</f>
        <v xml:space="preserve">NF-SEMI STD  : </v>
      </c>
      <c r="C50" s="9"/>
      <c r="F50" s="19"/>
      <c r="G50" s="19"/>
      <c r="H50" s="19"/>
      <c r="K50" s="9" t="str">
        <f>$B$6</f>
        <v xml:space="preserve">NF-SEMI STD  : </v>
      </c>
      <c r="L50" s="9"/>
      <c r="O50" s="19" t="e">
        <f ca="1">IF(OFFSET(#REF!,(INT(ROW(P50)/22)*3)+((COLUMN(P50)+2)/9),0)="","",OFFSET(#REF!,(INT(ROW(P50)/22)*3)+((COLUMN(P50)+2)/9),0))</f>
        <v>#REF!</v>
      </c>
      <c r="P50" s="19"/>
      <c r="Q50" s="19"/>
      <c r="T50" s="9" t="str">
        <f>$B$6</f>
        <v xml:space="preserve">NF-SEMI STD  : </v>
      </c>
      <c r="U50" s="9"/>
      <c r="X50" s="19" t="e">
        <f ca="1">IF(OFFSET(#REF!,(INT(ROW(Y50)/22)*3)+((COLUMN(Y50)+2)/9),0)="","",OFFSET(#REF!,(INT(ROW(Y50)/22)*3)+((COLUMN(Y50)+2)/9),0))</f>
        <v>#REF!</v>
      </c>
      <c r="Y50" s="19"/>
      <c r="Z50" s="19"/>
    </row>
    <row r="51" spans="2:27">
      <c r="B51" s="1" t="str">
        <f>$B$7</f>
        <v xml:space="preserve"> Compounds </v>
      </c>
      <c r="C51" s="1"/>
      <c r="D51" s="1"/>
      <c r="E51" s="1" t="str">
        <f>$E$7</f>
        <v>Analytical Results (ppb)</v>
      </c>
      <c r="F51" s="1"/>
      <c r="G51" s="1"/>
      <c r="H51" s="2"/>
      <c r="I51" s="2"/>
      <c r="J51" s="3"/>
      <c r="K51" s="1" t="str">
        <f>$B$7</f>
        <v xml:space="preserve"> Compounds </v>
      </c>
      <c r="L51" s="1"/>
      <c r="M51" s="1"/>
      <c r="N51" s="1" t="str">
        <f>$E$7</f>
        <v>Analytical Results (ppb)</v>
      </c>
      <c r="O51" s="1"/>
      <c r="P51" s="1"/>
      <c r="Q51" s="2"/>
      <c r="R51" s="2"/>
      <c r="T51" s="1" t="str">
        <f>$B$7</f>
        <v xml:space="preserve"> Compounds </v>
      </c>
      <c r="U51" s="1"/>
      <c r="V51" s="1"/>
      <c r="W51" s="1" t="str">
        <f>$E$7</f>
        <v>Analytical Results (ppb)</v>
      </c>
      <c r="X51" s="1"/>
      <c r="Y51" s="1"/>
      <c r="Z51" s="2"/>
      <c r="AA51" s="2"/>
    </row>
    <row r="52" spans="2:27" ht="22.5" customHeight="1">
      <c r="B52" s="7" t="str">
        <f>$B$8</f>
        <v xml:space="preserve"> Acetone</v>
      </c>
      <c r="C52" s="4"/>
      <c r="D52" s="4"/>
      <c r="E52" s="4"/>
      <c r="F52" s="22"/>
      <c r="G52" s="22"/>
      <c r="H52" s="22"/>
      <c r="I52" s="3"/>
      <c r="J52" s="3"/>
      <c r="K52" s="7" t="str">
        <f>$B$8</f>
        <v xml:space="preserve"> Acetone</v>
      </c>
      <c r="L52" s="4"/>
      <c r="M52" s="4"/>
      <c r="N52" s="4"/>
      <c r="O52" s="22" t="str">
        <f ca="1">IFERROR(IF(OFFSET(#REF!,(INT(ROW(P49)/22)*3)+((COLUMN(P49)+2)/9),MATCH(RIGHT(K52,LEN(K52)-1),#REF!,0))="","",OFFSET(#REF!,(INT(ROW(P49)/22)*3)+((COLUMN(P49)+2)/9),MATCH(RIGHT(K52,LEN(K52)-1),#REF!,0))),"")</f>
        <v/>
      </c>
      <c r="P52" s="22"/>
      <c r="Q52" s="22"/>
      <c r="R52" s="3"/>
      <c r="T52" s="7" t="str">
        <f>$B$8</f>
        <v xml:space="preserve"> Acetone</v>
      </c>
      <c r="U52" s="4"/>
      <c r="V52" s="4"/>
      <c r="W52" s="4"/>
      <c r="X52" s="22" t="str">
        <f ca="1">IFERROR(IF(OFFSET(#REF!,(INT(ROW(Y49)/22)*3)+((COLUMN(Y49)+2)/9),MATCH(RIGHT(T52,LEN(T52)-1),#REF!,0))="","",OFFSET(#REF!,(INT(ROW(Y49)/22)*3)+((COLUMN(Y49)+2)/9),MATCH(RIGHT(T52,LEN(T52)-1),#REF!,0))),"")</f>
        <v/>
      </c>
      <c r="Y52" s="22"/>
      <c r="Z52" s="22"/>
      <c r="AA52" s="3"/>
    </row>
    <row r="53" spans="2:27" ht="22.5" customHeight="1">
      <c r="B53" s="7" t="str">
        <f>$B$9</f>
        <v xml:space="preserve"> IPA</v>
      </c>
      <c r="C53" s="4"/>
      <c r="D53" s="4"/>
      <c r="E53" s="4"/>
      <c r="F53" s="22"/>
      <c r="G53" s="22"/>
      <c r="H53" s="22"/>
      <c r="I53" s="3"/>
      <c r="J53" s="3"/>
      <c r="K53" s="7" t="str">
        <f>$B$9</f>
        <v xml:space="preserve"> IPA</v>
      </c>
      <c r="L53" s="4"/>
      <c r="M53" s="4"/>
      <c r="N53" s="4"/>
      <c r="O53" s="22" t="str">
        <f ca="1">IFERROR(IF(OFFSET(#REF!,(INT(ROW(P50)/22)*3)+((COLUMN(P50)+2)/9),MATCH(RIGHT(K53,LEN(K53)-1),#REF!,0))="","",OFFSET(#REF!,(INT(ROW(P50)/22)*3)+((COLUMN(P50)+2)/9),MATCH(RIGHT(K53,LEN(K53)-1),#REF!,0))),"")</f>
        <v/>
      </c>
      <c r="P53" s="22"/>
      <c r="Q53" s="22"/>
      <c r="R53" s="3"/>
      <c r="T53" s="7" t="str">
        <f>$B$9</f>
        <v xml:space="preserve"> IPA</v>
      </c>
      <c r="U53" s="4"/>
      <c r="V53" s="4"/>
      <c r="W53" s="4"/>
      <c r="X53" s="22" t="str">
        <f ca="1">IFERROR(IF(OFFSET(#REF!,(INT(ROW(Y50)/22)*3)+((COLUMN(Y50)+2)/9),MATCH(RIGHT(T53,LEN(T53)-1),#REF!,0))="","",OFFSET(#REF!,(INT(ROW(Y50)/22)*3)+((COLUMN(Y50)+2)/9),MATCH(RIGHT(T53,LEN(T53)-1),#REF!,0))),"")</f>
        <v/>
      </c>
      <c r="Y53" s="22"/>
      <c r="Z53" s="22"/>
      <c r="AA53" s="3"/>
    </row>
    <row r="54" spans="2:27" ht="22.5" customHeight="1">
      <c r="B54" s="7" t="str">
        <f>$B$10</f>
        <v xml:space="preserve"> CNF</v>
      </c>
      <c r="C54" s="4"/>
      <c r="D54" s="4"/>
      <c r="E54" s="4"/>
      <c r="F54" s="22"/>
      <c r="G54" s="22"/>
      <c r="H54" s="22"/>
      <c r="I54" s="3"/>
      <c r="J54" s="3"/>
      <c r="K54" s="7" t="str">
        <f>$B$10</f>
        <v xml:space="preserve"> CNF</v>
      </c>
      <c r="L54" s="4"/>
      <c r="M54" s="4"/>
      <c r="N54" s="4"/>
      <c r="O54" s="22" t="str">
        <f ca="1">IFERROR(IF(OFFSET(#REF!,(INT(ROW(P51)/22)*3)+((COLUMN(P51)+2)/9),MATCH(RIGHT(K54,LEN(K54)-1),#REF!,0))="","",OFFSET(#REF!,(INT(ROW(P51)/22)*3)+((COLUMN(P51)+2)/9),MATCH(RIGHT(K54,LEN(K54)-1),#REF!,0))),"")</f>
        <v/>
      </c>
      <c r="P54" s="22"/>
      <c r="Q54" s="22"/>
      <c r="R54" s="3"/>
      <c r="T54" s="7" t="str">
        <f>$B$10</f>
        <v xml:space="preserve"> CNF</v>
      </c>
      <c r="U54" s="4"/>
      <c r="V54" s="4"/>
      <c r="W54" s="4"/>
      <c r="X54" s="22" t="str">
        <f ca="1">IFERROR(IF(OFFSET(#REF!,(INT(ROW(Y51)/22)*3)+((COLUMN(Y51)+2)/9),MATCH(RIGHT(T54,LEN(T54)-1),#REF!,0))="","",OFFSET(#REF!,(INT(ROW(Y51)/22)*3)+((COLUMN(Y51)+2)/9),MATCH(RIGHT(T54,LEN(T54)-1),#REF!,0))),"")</f>
        <v/>
      </c>
      <c r="Y54" s="22"/>
      <c r="Z54" s="22"/>
      <c r="AA54" s="3"/>
    </row>
    <row r="55" spans="2:27" ht="22.5" customHeight="1">
      <c r="B55" s="7" t="str">
        <f>$B$11</f>
        <v xml:space="preserve"> Cyclopentane</v>
      </c>
      <c r="C55" s="4"/>
      <c r="D55" s="4"/>
      <c r="E55" s="4"/>
      <c r="F55" s="22"/>
      <c r="G55" s="22"/>
      <c r="H55" s="22"/>
      <c r="I55" s="3"/>
      <c r="J55" s="3"/>
      <c r="K55" s="7" t="str">
        <f>$B$11</f>
        <v xml:space="preserve"> Cyclopentane</v>
      </c>
      <c r="L55" s="4"/>
      <c r="M55" s="4"/>
      <c r="N55" s="4"/>
      <c r="O55" s="22" t="str">
        <f ca="1">IFERROR(IF(OFFSET(#REF!,(INT(ROW(P52)/22)*3)+((COLUMN(P52)+2)/9),MATCH(RIGHT(K55,LEN(K55)-1),#REF!,0))="","",OFFSET(#REF!,(INT(ROW(P52)/22)*3)+((COLUMN(P52)+2)/9),MATCH(RIGHT(K55,LEN(K55)-1),#REF!,0))),"")</f>
        <v/>
      </c>
      <c r="P55" s="22"/>
      <c r="Q55" s="22"/>
      <c r="R55" s="3"/>
      <c r="T55" s="7" t="str">
        <f>$B$11</f>
        <v xml:space="preserve"> Cyclopentane</v>
      </c>
      <c r="U55" s="4"/>
      <c r="V55" s="4"/>
      <c r="W55" s="4"/>
      <c r="X55" s="22" t="str">
        <f ca="1">IFERROR(IF(OFFSET(#REF!,(INT(ROW(Y52)/22)*3)+((COLUMN(Y52)+2)/9),MATCH(RIGHT(T55,LEN(T55)-1),#REF!,0))="","",OFFSET(#REF!,(INT(ROW(Y52)/22)*3)+((COLUMN(Y52)+2)/9),MATCH(RIGHT(T55,LEN(T55)-1),#REF!,0))),"")</f>
        <v/>
      </c>
      <c r="Y55" s="22"/>
      <c r="Z55" s="22"/>
      <c r="AA55" s="3"/>
    </row>
    <row r="56" spans="2:27" ht="22.5" customHeight="1">
      <c r="B56" s="7" t="str">
        <f>$B$12</f>
        <v xml:space="preserve"> 2-Butanone</v>
      </c>
      <c r="C56" s="4"/>
      <c r="D56" s="4"/>
      <c r="E56" s="4"/>
      <c r="F56" s="22"/>
      <c r="G56" s="22"/>
      <c r="H56" s="22"/>
      <c r="I56" s="3"/>
      <c r="J56" s="3"/>
      <c r="K56" s="7" t="str">
        <f>$B$12</f>
        <v xml:space="preserve"> 2-Butanone</v>
      </c>
      <c r="L56" s="4"/>
      <c r="M56" s="4"/>
      <c r="N56" s="4"/>
      <c r="O56" s="22" t="str">
        <f ca="1">IFERROR(IF(OFFSET(#REF!,(INT(ROW(P53)/22)*3)+((COLUMN(P53)+2)/9),MATCH(RIGHT(K56,LEN(K56)-1),#REF!,0))="","",OFFSET(#REF!,(INT(ROW(P53)/22)*3)+((COLUMN(P53)+2)/9),MATCH(RIGHT(K56,LEN(K56)-1),#REF!,0))),"")</f>
        <v/>
      </c>
      <c r="P56" s="22"/>
      <c r="Q56" s="22"/>
      <c r="R56" s="3"/>
      <c r="T56" s="7" t="str">
        <f>$B$12</f>
        <v xml:space="preserve"> 2-Butanone</v>
      </c>
      <c r="U56" s="4"/>
      <c r="V56" s="4"/>
      <c r="W56" s="4"/>
      <c r="X56" s="22" t="str">
        <f ca="1">IFERROR(IF(OFFSET(#REF!,(INT(ROW(Y53)/22)*3)+((COLUMN(Y53)+2)/9),MATCH(RIGHT(T56,LEN(T56)-1),#REF!,0))="","",OFFSET(#REF!,(INT(ROW(Y53)/22)*3)+((COLUMN(Y53)+2)/9),MATCH(RIGHT(T56,LEN(T56)-1),#REF!,0))),"")</f>
        <v/>
      </c>
      <c r="Y56" s="22"/>
      <c r="Z56" s="22"/>
      <c r="AA56" s="3"/>
    </row>
    <row r="57" spans="2:27" ht="22.5" customHeight="1">
      <c r="B57" s="7" t="str">
        <f>$B$13</f>
        <v xml:space="preserve"> Ethyl Acetate</v>
      </c>
      <c r="C57" s="4"/>
      <c r="D57" s="4"/>
      <c r="E57" s="4"/>
      <c r="F57" s="22"/>
      <c r="G57" s="22"/>
      <c r="H57" s="22"/>
      <c r="I57" s="3"/>
      <c r="J57" s="3"/>
      <c r="K57" s="7" t="str">
        <f>$B$13</f>
        <v xml:space="preserve"> Ethyl Acetate</v>
      </c>
      <c r="L57" s="4"/>
      <c r="M57" s="4"/>
      <c r="N57" s="4"/>
      <c r="O57" s="22" t="str">
        <f ca="1">IFERROR(IF(OFFSET(#REF!,(INT(ROW(P54)/22)*3)+((COLUMN(P54)+2)/9),MATCH(RIGHT(K57,LEN(K57)-1),#REF!,0))="","",OFFSET(#REF!,(INT(ROW(P54)/22)*3)+((COLUMN(P54)+2)/9),MATCH(RIGHT(K57,LEN(K57)-1),#REF!,0))),"")</f>
        <v/>
      </c>
      <c r="P57" s="22"/>
      <c r="Q57" s="22"/>
      <c r="R57" s="3"/>
      <c r="T57" s="7" t="str">
        <f>$B$13</f>
        <v xml:space="preserve"> Ethyl Acetate</v>
      </c>
      <c r="U57" s="4"/>
      <c r="V57" s="4"/>
      <c r="W57" s="4"/>
      <c r="X57" s="22" t="str">
        <f ca="1">IFERROR(IF(OFFSET(#REF!,(INT(ROW(Y54)/22)*3)+((COLUMN(Y54)+2)/9),MATCH(RIGHT(T57,LEN(T57)-1),#REF!,0))="","",OFFSET(#REF!,(INT(ROW(Y54)/22)*3)+((COLUMN(Y54)+2)/9),MATCH(RIGHT(T57,LEN(T57)-1),#REF!,0))),"")</f>
        <v/>
      </c>
      <c r="Y57" s="22"/>
      <c r="Z57" s="22"/>
      <c r="AA57" s="3"/>
    </row>
    <row r="58" spans="2:27" ht="22.5" customHeight="1">
      <c r="B58" s="7" t="str">
        <f>$B$14</f>
        <v xml:space="preserve"> Benzene</v>
      </c>
      <c r="C58" s="4"/>
      <c r="D58" s="4"/>
      <c r="E58" s="4"/>
      <c r="F58" s="22"/>
      <c r="G58" s="22"/>
      <c r="H58" s="22"/>
      <c r="I58" s="3"/>
      <c r="J58" s="3"/>
      <c r="K58" s="7" t="str">
        <f>$B$14</f>
        <v xml:space="preserve"> Benzene</v>
      </c>
      <c r="L58" s="4"/>
      <c r="M58" s="4"/>
      <c r="N58" s="4"/>
      <c r="O58" s="22" t="str">
        <f ca="1">IFERROR(IF(OFFSET(#REF!,(INT(ROW(P55)/22)*3)+((COLUMN(P55)+2)/9),MATCH(RIGHT(K58,LEN(K58)-1),#REF!,0))="","",OFFSET(#REF!,(INT(ROW(P55)/22)*3)+((COLUMN(P55)+2)/9),MATCH(RIGHT(K58,LEN(K58)-1),#REF!,0))),"")</f>
        <v/>
      </c>
      <c r="P58" s="22"/>
      <c r="Q58" s="22"/>
      <c r="R58" s="3"/>
      <c r="T58" s="7" t="str">
        <f>$B$14</f>
        <v xml:space="preserve"> Benzene</v>
      </c>
      <c r="U58" s="4"/>
      <c r="V58" s="4"/>
      <c r="W58" s="4"/>
      <c r="X58" s="22" t="str">
        <f ca="1">IFERROR(IF(OFFSET(#REF!,(INT(ROW(Y55)/22)*3)+((COLUMN(Y55)+2)/9),MATCH(RIGHT(T58,LEN(T58)-1),#REF!,0))="","",OFFSET(#REF!,(INT(ROW(Y55)/22)*3)+((COLUMN(Y55)+2)/9),MATCH(RIGHT(T58,LEN(T58)-1),#REF!,0))),"")</f>
        <v/>
      </c>
      <c r="Y58" s="22"/>
      <c r="Z58" s="22"/>
      <c r="AA58" s="3"/>
    </row>
    <row r="59" spans="2:27" ht="22.5" customHeight="1">
      <c r="B59" s="7" t="str">
        <f>$B$15</f>
        <v xml:space="preserve"> Toluene</v>
      </c>
      <c r="C59" s="4"/>
      <c r="D59" s="4"/>
      <c r="E59" s="4"/>
      <c r="F59" s="22"/>
      <c r="G59" s="22"/>
      <c r="H59" s="22"/>
      <c r="I59" s="3"/>
      <c r="J59" s="3"/>
      <c r="K59" s="7" t="str">
        <f>$B$15</f>
        <v xml:space="preserve"> Toluene</v>
      </c>
      <c r="L59" s="4"/>
      <c r="M59" s="4"/>
      <c r="N59" s="4"/>
      <c r="O59" s="22" t="str">
        <f ca="1">IFERROR(IF(OFFSET(#REF!,(INT(ROW(P56)/22)*3)+((COLUMN(P56)+2)/9),MATCH(RIGHT(K59,LEN(K59)-1),#REF!,0))="","",OFFSET(#REF!,(INT(ROW(P56)/22)*3)+((COLUMN(P56)+2)/9),MATCH(RIGHT(K59,LEN(K59)-1),#REF!,0))),"")</f>
        <v/>
      </c>
      <c r="P59" s="22"/>
      <c r="Q59" s="22"/>
      <c r="R59" s="3"/>
      <c r="T59" s="7" t="str">
        <f>$B$15</f>
        <v xml:space="preserve"> Toluene</v>
      </c>
      <c r="U59" s="4"/>
      <c r="V59" s="4"/>
      <c r="W59" s="4"/>
      <c r="X59" s="22" t="str">
        <f ca="1">IFERROR(IF(OFFSET(#REF!,(INT(ROW(Y56)/22)*3)+((COLUMN(Y56)+2)/9),MATCH(RIGHT(T59,LEN(T59)-1),#REF!,0))="","",OFFSET(#REF!,(INT(ROW(Y56)/22)*3)+((COLUMN(Y56)+2)/9),MATCH(RIGHT(T59,LEN(T59)-1),#REF!,0))),"")</f>
        <v/>
      </c>
      <c r="Y59" s="22"/>
      <c r="Z59" s="22"/>
      <c r="AA59" s="3"/>
    </row>
    <row r="60" spans="2:27" ht="22.5" customHeight="1">
      <c r="B60" s="7" t="str">
        <f>$B$16</f>
        <v xml:space="preserve"> 1,2,4-TMB</v>
      </c>
      <c r="C60" s="4"/>
      <c r="D60" s="4"/>
      <c r="E60" s="4"/>
      <c r="F60" s="22"/>
      <c r="G60" s="22"/>
      <c r="H60" s="22"/>
      <c r="I60" s="3"/>
      <c r="J60" s="3"/>
      <c r="K60" s="7" t="str">
        <f>$B$16</f>
        <v xml:space="preserve"> 1,2,4-TMB</v>
      </c>
      <c r="L60" s="4"/>
      <c r="M60" s="4"/>
      <c r="N60" s="4"/>
      <c r="O60" s="22" t="str">
        <f ca="1">IFERROR(IF(OFFSET(#REF!,(INT(ROW(P57)/22)*3)+((COLUMN(P57)+2)/9),MATCH(RIGHT(K60,LEN(K60)-1),#REF!,0))="","",OFFSET(#REF!,(INT(ROW(P57)/22)*3)+((COLUMN(P57)+2)/9),MATCH(RIGHT(K60,LEN(K60)-1),#REF!,0))),"")</f>
        <v/>
      </c>
      <c r="P60" s="22"/>
      <c r="Q60" s="22"/>
      <c r="R60" s="3"/>
      <c r="T60" s="7" t="str">
        <f>$B$16</f>
        <v xml:space="preserve"> 1,2,4-TMB</v>
      </c>
      <c r="U60" s="4"/>
      <c r="V60" s="4"/>
      <c r="W60" s="4"/>
      <c r="X60" s="22" t="str">
        <f ca="1">IFERROR(IF(OFFSET(#REF!,(INT(ROW(Y57)/22)*3)+((COLUMN(Y57)+2)/9),MATCH(RIGHT(T60,LEN(T60)-1),#REF!,0))="","",OFFSET(#REF!,(INT(ROW(Y57)/22)*3)+((COLUMN(Y57)+2)/9),MATCH(RIGHT(T60,LEN(T60)-1),#REF!,0))),"")</f>
        <v/>
      </c>
      <c r="Y60" s="22"/>
      <c r="Z60" s="22"/>
      <c r="AA60" s="3"/>
    </row>
    <row r="61" spans="2:27" ht="7.5" customHeight="1">
      <c r="B61" s="5"/>
      <c r="C61" s="5"/>
      <c r="D61" s="5"/>
      <c r="E61" s="5"/>
      <c r="F61" s="5"/>
      <c r="G61" s="5"/>
      <c r="H61" s="5"/>
      <c r="I61" s="5"/>
      <c r="J61" s="3"/>
      <c r="K61" s="5"/>
      <c r="L61" s="5"/>
      <c r="M61" s="5"/>
      <c r="N61" s="5"/>
      <c r="O61" s="5"/>
      <c r="P61" s="5"/>
      <c r="Q61" s="5"/>
      <c r="R61" s="5"/>
      <c r="T61" s="5"/>
      <c r="U61" s="5"/>
      <c r="V61" s="5"/>
      <c r="W61" s="5"/>
      <c r="X61" s="5"/>
      <c r="Y61" s="5"/>
      <c r="Z61" s="5"/>
      <c r="AA61" s="5"/>
    </row>
    <row r="62" spans="2:27" ht="4.5" customHeight="1">
      <c r="B62" s="4"/>
      <c r="C62" s="4"/>
      <c r="D62" s="4"/>
      <c r="E62" s="4"/>
      <c r="F62" s="4"/>
      <c r="G62" s="4"/>
      <c r="H62" s="4"/>
      <c r="I62" s="4"/>
      <c r="J62" s="3"/>
      <c r="K62" s="4"/>
      <c r="L62" s="4"/>
      <c r="M62" s="4"/>
      <c r="N62" s="4"/>
      <c r="O62" s="4"/>
      <c r="P62" s="4"/>
      <c r="Q62" s="4"/>
      <c r="R62" s="4"/>
      <c r="T62" s="4"/>
      <c r="U62" s="4"/>
      <c r="V62" s="4"/>
      <c r="W62" s="4"/>
      <c r="X62" s="4"/>
      <c r="Y62" s="4"/>
      <c r="Z62" s="4"/>
      <c r="AA62" s="4"/>
    </row>
    <row r="63" spans="2:27">
      <c r="B63" s="20" t="s">
        <v>17</v>
      </c>
      <c r="C63" s="20"/>
      <c r="D63" s="20"/>
      <c r="E63" s="20"/>
      <c r="F63" s="21" t="s">
        <v>19</v>
      </c>
      <c r="G63" s="21"/>
      <c r="H63" s="21"/>
      <c r="I63" s="21"/>
      <c r="J63" s="3"/>
      <c r="K63" s="20" t="s">
        <v>17</v>
      </c>
      <c r="L63" s="20"/>
      <c r="M63" s="20"/>
      <c r="N63" s="20"/>
      <c r="O63" s="21" t="s">
        <v>19</v>
      </c>
      <c r="P63" s="21"/>
      <c r="Q63" s="21"/>
      <c r="R63" s="21"/>
      <c r="T63" s="20" t="s">
        <v>17</v>
      </c>
      <c r="U63" s="20"/>
      <c r="V63" s="20"/>
      <c r="W63" s="20"/>
      <c r="X63" s="21" t="s">
        <v>19</v>
      </c>
      <c r="Y63" s="21"/>
      <c r="Z63" s="21"/>
      <c r="AA63" s="21"/>
    </row>
    <row r="64" spans="2:27" ht="16.5" customHeight="1">
      <c r="B64" s="18" t="s">
        <v>21</v>
      </c>
      <c r="C64" s="18"/>
      <c r="D64" s="18"/>
      <c r="E64" s="18"/>
      <c r="F64" s="18"/>
      <c r="G64" s="4"/>
      <c r="H64" s="4"/>
      <c r="I64" s="3"/>
      <c r="J64" s="3"/>
      <c r="K64" s="18" t="s">
        <v>21</v>
      </c>
      <c r="L64" s="18"/>
      <c r="M64" s="18"/>
      <c r="N64" s="18"/>
      <c r="O64" s="18"/>
      <c r="P64" s="4"/>
      <c r="Q64" s="4"/>
      <c r="R64" s="3"/>
      <c r="T64" s="18" t="s">
        <v>21</v>
      </c>
      <c r="U64" s="18"/>
      <c r="V64" s="18"/>
      <c r="W64" s="18"/>
      <c r="X64" s="18"/>
      <c r="Y64" s="4"/>
      <c r="Z64" s="4"/>
      <c r="AA64" s="3"/>
    </row>
    <row r="65" spans="1:28" ht="9.75" customHeight="1">
      <c r="B65" s="6"/>
      <c r="C65" s="6"/>
      <c r="D65" s="6"/>
      <c r="F65" s="6"/>
      <c r="G65" s="19"/>
      <c r="H65" s="19"/>
      <c r="I65" s="19"/>
      <c r="K65" s="6"/>
      <c r="L65" s="6"/>
      <c r="M65" s="6"/>
      <c r="O65" s="6"/>
      <c r="P65" s="19"/>
      <c r="Q65" s="19"/>
      <c r="R65" s="19"/>
      <c r="T65" s="6"/>
      <c r="U65" s="6"/>
      <c r="V65" s="6"/>
      <c r="X65" s="6"/>
      <c r="Y65" s="19"/>
      <c r="Z65" s="19"/>
      <c r="AA65" s="19"/>
    </row>
    <row r="66" spans="1:28">
      <c r="B66" s="16" t="str">
        <f>$B$22</f>
        <v>安裝Engineer  Signature  / Date</v>
      </c>
      <c r="C66" s="16"/>
      <c r="D66" s="16"/>
      <c r="F66" s="17" t="str">
        <f>$F$22</f>
        <v>Authorized Signature  / Date</v>
      </c>
      <c r="G66" s="17"/>
      <c r="H66" s="17"/>
      <c r="I66" s="17"/>
      <c r="K66" s="16" t="str">
        <f>$B$22</f>
        <v>安裝Engineer  Signature  / Date</v>
      </c>
      <c r="L66" s="16"/>
      <c r="M66" s="16"/>
      <c r="O66" s="17" t="str">
        <f>$F$22</f>
        <v>Authorized Signature  / Date</v>
      </c>
      <c r="P66" s="17"/>
      <c r="Q66" s="17"/>
      <c r="R66" s="17"/>
      <c r="T66" s="16" t="str">
        <f>$B$22</f>
        <v>安裝Engineer  Signature  / Date</v>
      </c>
      <c r="U66" s="16"/>
      <c r="V66" s="16"/>
      <c r="X66" s="17" t="str">
        <f>$F$22</f>
        <v>Authorized Signature  / Date</v>
      </c>
      <c r="Y66" s="17"/>
      <c r="Z66" s="17"/>
      <c r="AA66" s="17"/>
    </row>
    <row r="67" spans="1:28" ht="3.75" customHeight="1">
      <c r="A67" t="s">
        <v>12</v>
      </c>
      <c r="J67" t="s">
        <v>12</v>
      </c>
      <c r="S67" t="s">
        <v>12</v>
      </c>
      <c r="AB67" t="s">
        <v>12</v>
      </c>
    </row>
  </sheetData>
  <mergeCells count="144">
    <mergeCell ref="F6:H6"/>
    <mergeCell ref="O6:Q6"/>
    <mergeCell ref="X6:Z6"/>
    <mergeCell ref="F28:H28"/>
    <mergeCell ref="O28:Q28"/>
    <mergeCell ref="X28:Z28"/>
    <mergeCell ref="F63:I63"/>
    <mergeCell ref="K63:N63"/>
    <mergeCell ref="O63:R63"/>
    <mergeCell ref="T63:W63"/>
    <mergeCell ref="X63:AA63"/>
    <mergeCell ref="F41:I41"/>
    <mergeCell ref="K41:N41"/>
    <mergeCell ref="O41:R41"/>
    <mergeCell ref="T41:W41"/>
    <mergeCell ref="X41:AA41"/>
    <mergeCell ref="F19:I19"/>
    <mergeCell ref="K19:N19"/>
    <mergeCell ref="O19:R19"/>
    <mergeCell ref="T19:W19"/>
    <mergeCell ref="X19:AA19"/>
    <mergeCell ref="F54:H54"/>
    <mergeCell ref="O54:Q54"/>
    <mergeCell ref="X54:Z54"/>
    <mergeCell ref="F56:H56"/>
    <mergeCell ref="O56:Q56"/>
    <mergeCell ref="X56:Z56"/>
    <mergeCell ref="F55:H55"/>
    <mergeCell ref="X55:Z55"/>
    <mergeCell ref="O55:Q55"/>
    <mergeCell ref="G65:I65"/>
    <mergeCell ref="P65:R65"/>
    <mergeCell ref="Y65:AA65"/>
    <mergeCell ref="T64:X64"/>
    <mergeCell ref="B66:D66"/>
    <mergeCell ref="F66:I66"/>
    <mergeCell ref="K66:M66"/>
    <mergeCell ref="O66:R66"/>
    <mergeCell ref="T66:V66"/>
    <mergeCell ref="X66:AA66"/>
    <mergeCell ref="F57:H57"/>
    <mergeCell ref="O57:Q57"/>
    <mergeCell ref="X57:Z57"/>
    <mergeCell ref="F58:H58"/>
    <mergeCell ref="O58:Q58"/>
    <mergeCell ref="X58:Z58"/>
    <mergeCell ref="F59:H59"/>
    <mergeCell ref="O59:Q59"/>
    <mergeCell ref="X59:Z59"/>
    <mergeCell ref="X60:Z60"/>
    <mergeCell ref="O60:Q60"/>
    <mergeCell ref="F60:H60"/>
    <mergeCell ref="B63:E63"/>
    <mergeCell ref="B64:F64"/>
    <mergeCell ref="K64:O64"/>
    <mergeCell ref="O53:Q53"/>
    <mergeCell ref="X53:Z53"/>
    <mergeCell ref="G43:I43"/>
    <mergeCell ref="P43:R43"/>
    <mergeCell ref="Y43:AA43"/>
    <mergeCell ref="X44:AA44"/>
    <mergeCell ref="F52:H52"/>
    <mergeCell ref="O52:Q52"/>
    <mergeCell ref="X52:Z52"/>
    <mergeCell ref="F53:H53"/>
    <mergeCell ref="F50:H50"/>
    <mergeCell ref="O50:Q50"/>
    <mergeCell ref="X50:Z50"/>
    <mergeCell ref="B44:D44"/>
    <mergeCell ref="F44:I44"/>
    <mergeCell ref="K44:M44"/>
    <mergeCell ref="O44:R44"/>
    <mergeCell ref="T44:V44"/>
    <mergeCell ref="F35:H35"/>
    <mergeCell ref="O35:Q35"/>
    <mergeCell ref="X35:Z35"/>
    <mergeCell ref="F36:H36"/>
    <mergeCell ref="O36:Q36"/>
    <mergeCell ref="X36:Z36"/>
    <mergeCell ref="F37:H37"/>
    <mergeCell ref="O37:Q37"/>
    <mergeCell ref="X37:Z37"/>
    <mergeCell ref="F38:H38"/>
    <mergeCell ref="O38:Q38"/>
    <mergeCell ref="X38:Z38"/>
    <mergeCell ref="B41:E41"/>
    <mergeCell ref="B42:F42"/>
    <mergeCell ref="K42:O42"/>
    <mergeCell ref="T42:X42"/>
    <mergeCell ref="F32:H32"/>
    <mergeCell ref="O32:Q32"/>
    <mergeCell ref="X32:Z32"/>
    <mergeCell ref="F34:H34"/>
    <mergeCell ref="O34:Q34"/>
    <mergeCell ref="X34:Z34"/>
    <mergeCell ref="F33:H33"/>
    <mergeCell ref="O33:Q33"/>
    <mergeCell ref="X33:Z33"/>
    <mergeCell ref="F30:H30"/>
    <mergeCell ref="O30:Q30"/>
    <mergeCell ref="X30:Z30"/>
    <mergeCell ref="F31:H31"/>
    <mergeCell ref="O31:Q31"/>
    <mergeCell ref="X31:Z31"/>
    <mergeCell ref="G21:I21"/>
    <mergeCell ref="P21:R21"/>
    <mergeCell ref="Y21:AA21"/>
    <mergeCell ref="B22:D22"/>
    <mergeCell ref="F22:I22"/>
    <mergeCell ref="K22:M22"/>
    <mergeCell ref="O22:R22"/>
    <mergeCell ref="T22:V22"/>
    <mergeCell ref="X22:AA22"/>
    <mergeCell ref="F13:H13"/>
    <mergeCell ref="O13:Q13"/>
    <mergeCell ref="X13:Z13"/>
    <mergeCell ref="F14:H14"/>
    <mergeCell ref="O14:Q14"/>
    <mergeCell ref="X14:Z14"/>
    <mergeCell ref="F15:H15"/>
    <mergeCell ref="F16:H16"/>
    <mergeCell ref="O15:Q15"/>
    <mergeCell ref="O16:Q16"/>
    <mergeCell ref="X15:Z15"/>
    <mergeCell ref="X16:Z16"/>
    <mergeCell ref="B19:E19"/>
    <mergeCell ref="B20:F20"/>
    <mergeCell ref="T20:X20"/>
    <mergeCell ref="K20:O20"/>
    <mergeCell ref="F12:H12"/>
    <mergeCell ref="O12:Q12"/>
    <mergeCell ref="X12:Z12"/>
    <mergeCell ref="F11:H11"/>
    <mergeCell ref="O11:Q11"/>
    <mergeCell ref="X11:Z11"/>
    <mergeCell ref="F8:H8"/>
    <mergeCell ref="O8:Q8"/>
    <mergeCell ref="X8:Z8"/>
    <mergeCell ref="F9:H9"/>
    <mergeCell ref="O9:Q9"/>
    <mergeCell ref="X9:Z9"/>
    <mergeCell ref="F10:H10"/>
    <mergeCell ref="O10:Q10"/>
    <mergeCell ref="X10:Z10"/>
  </mergeCells>
  <phoneticPr fontId="1" type="noConversion"/>
  <printOptions horizontalCentered="1"/>
  <pageMargins left="0.25" right="0.25" top="0.25" bottom="0.25" header="0" footer="0"/>
  <pageSetup paperSize="9" fitToWidth="1" fitToHeight="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7CF2-022B-45F5-BE30-2881F0C24896}">
  <sheetPr>
    <pageSetUpPr fitToPage="1"/>
  </sheetPr>
  <dimension ref="A1:BR67"/>
  <sheetViews>
    <sheetView workbookViewId="0">
      <selection activeCell="AG24" activeCellId="1" sqref="AG65 AG24"/>
    </sheetView>
  </sheetViews>
  <sheetFormatPr defaultRowHeight="16.2"/>
  <cols>
    <col min="1" max="1" width="0.88671875" customWidth="1"/>
    <col min="2" max="2" width="14.6640625" customWidth="1"/>
    <col min="3" max="3" width="2.6640625" customWidth="1"/>
    <col min="4" max="4" width="2.33203125" customWidth="1"/>
    <col min="5" max="5" width="1.21875" customWidth="1"/>
    <col min="6" max="6" width="2.44140625" customWidth="1"/>
    <col min="8" max="8" width="4.6640625" customWidth="1"/>
    <col min="9" max="9" width="3.44140625" customWidth="1"/>
    <col min="10" max="10" width="0.88671875" customWidth="1"/>
    <col min="11" max="11" width="14.6640625" customWidth="1"/>
    <col min="12" max="12" width="2.6640625" customWidth="1"/>
    <col min="13" max="13" width="2.33203125" customWidth="1"/>
    <col min="14" max="14" width="1.21875" customWidth="1"/>
    <col min="15" max="15" width="2.44140625" customWidth="1"/>
    <col min="17" max="17" width="4.6640625" customWidth="1"/>
    <col min="18" max="18" width="3.21875" customWidth="1"/>
    <col min="19" max="19" width="0.88671875" customWidth="1"/>
    <col min="20" max="20" width="14.6640625" customWidth="1"/>
    <col min="21" max="21" width="2.6640625" customWidth="1"/>
    <col min="22" max="22" width="2.33203125" customWidth="1"/>
    <col min="23" max="23" width="1.21875" customWidth="1"/>
    <col min="24" max="24" width="2.44140625" customWidth="1"/>
    <col min="26" max="26" width="4.6640625" customWidth="1"/>
    <col min="27" max="27" width="3.21875" customWidth="1"/>
    <col min="32" max="32" width="9.6640625" bestFit="1" customWidth="1"/>
  </cols>
  <sheetData>
    <row r="1" spans="1:32" ht="3.75" customHeight="1">
      <c r="A1" t="s">
        <v>12</v>
      </c>
      <c r="J1" t="s">
        <v>12</v>
      </c>
      <c r="S1" s="10" t="s">
        <v>12</v>
      </c>
      <c r="AB1" t="s">
        <v>12</v>
      </c>
    </row>
    <row r="4" spans="1:32" ht="12" customHeight="1"/>
    <row r="5" spans="1:32" ht="4.5" customHeight="1"/>
    <row r="6" spans="1:32" s="8" customFormat="1" ht="22.5" customHeight="1">
      <c r="B6" s="9" t="s">
        <v>13</v>
      </c>
      <c r="C6" s="9"/>
      <c r="F6" s="19" t="s">
        <v>22</v>
      </c>
      <c r="G6" s="19"/>
      <c r="H6" s="19"/>
      <c r="K6" s="9" t="str">
        <f>$B$6</f>
        <v xml:space="preserve">NF-SEMI STD  : </v>
      </c>
      <c r="L6" s="9"/>
      <c r="O6" s="19" t="s">
        <v>23</v>
      </c>
      <c r="P6" s="19"/>
      <c r="Q6" s="19"/>
      <c r="T6" s="9" t="str">
        <f>$B$6</f>
        <v xml:space="preserve">NF-SEMI STD  : </v>
      </c>
      <c r="U6" s="9"/>
      <c r="X6" s="19" t="s">
        <v>24</v>
      </c>
      <c r="Y6" s="19"/>
      <c r="Z6" s="19"/>
    </row>
    <row r="7" spans="1:32">
      <c r="B7" s="1" t="s">
        <v>0</v>
      </c>
      <c r="C7" s="1"/>
      <c r="D7" s="1"/>
      <c r="E7" s="1" t="s">
        <v>1</v>
      </c>
      <c r="F7" s="1"/>
      <c r="G7" s="1"/>
      <c r="H7" s="2"/>
      <c r="I7" s="2"/>
      <c r="J7" s="3"/>
      <c r="K7" s="1" t="str">
        <f>$B$7</f>
        <v xml:space="preserve"> Compounds </v>
      </c>
      <c r="L7" s="1"/>
      <c r="M7" s="1"/>
      <c r="N7" s="1" t="str">
        <f>$E$7</f>
        <v>Analytical Results (ppb)</v>
      </c>
      <c r="O7" s="1"/>
      <c r="P7" s="1"/>
      <c r="Q7" s="2"/>
      <c r="R7" s="2"/>
      <c r="T7" s="1" t="str">
        <f>$B$7</f>
        <v xml:space="preserve"> Compounds </v>
      </c>
      <c r="U7" s="1"/>
      <c r="V7" s="1"/>
      <c r="W7" s="1" t="str">
        <f>$E$7</f>
        <v>Analytical Results (ppb)</v>
      </c>
      <c r="X7" s="1"/>
      <c r="Y7" s="1"/>
      <c r="Z7" s="2"/>
      <c r="AA7" s="2"/>
    </row>
    <row r="8" spans="1:32" ht="22.5" customHeight="1">
      <c r="B8" s="7" t="s">
        <v>2</v>
      </c>
      <c r="C8" s="4"/>
      <c r="D8" s="4"/>
      <c r="E8" s="4"/>
      <c r="F8" s="22">
        <v>100.181868238294</v>
      </c>
      <c r="G8" s="22"/>
      <c r="H8" s="22"/>
      <c r="I8" s="3"/>
      <c r="J8" s="3"/>
      <c r="K8" s="7" t="str">
        <f>$B$8</f>
        <v xml:space="preserve"> Acetone</v>
      </c>
      <c r="L8" s="4"/>
      <c r="M8" s="4"/>
      <c r="N8" s="4"/>
      <c r="O8" s="22">
        <v>97.458565610919905</v>
      </c>
      <c r="P8" s="22"/>
      <c r="Q8" s="22"/>
      <c r="R8" s="3"/>
      <c r="T8" s="7" t="str">
        <f>$B$8</f>
        <v xml:space="preserve"> Acetone</v>
      </c>
      <c r="U8" s="4"/>
      <c r="V8" s="4"/>
      <c r="W8" s="4"/>
      <c r="X8" s="22">
        <v>99.494383077133705</v>
      </c>
      <c r="Y8" s="22"/>
      <c r="Z8" s="22"/>
      <c r="AA8" s="3"/>
    </row>
    <row r="9" spans="1:32" ht="22.5" customHeight="1">
      <c r="B9" s="7" t="s">
        <v>3</v>
      </c>
      <c r="C9" s="4"/>
      <c r="D9" s="4"/>
      <c r="E9" s="4"/>
      <c r="F9" s="22">
        <v>107.8070670255</v>
      </c>
      <c r="G9" s="22"/>
      <c r="H9" s="22"/>
      <c r="I9" s="3"/>
      <c r="J9" s="3"/>
      <c r="K9" s="7" t="str">
        <f>$B$9</f>
        <v xml:space="preserve"> IPA</v>
      </c>
      <c r="L9" s="4"/>
      <c r="M9" s="4"/>
      <c r="N9" s="4"/>
      <c r="O9" s="22">
        <v>107.0100681755</v>
      </c>
      <c r="P9" s="22"/>
      <c r="Q9" s="22"/>
      <c r="R9" s="3"/>
      <c r="T9" s="7" t="str">
        <f>$B$9</f>
        <v xml:space="preserve"> IPA</v>
      </c>
      <c r="U9" s="4"/>
      <c r="V9" s="4"/>
      <c r="W9" s="4"/>
      <c r="X9" s="22">
        <v>105.60356591350001</v>
      </c>
      <c r="Y9" s="22"/>
      <c r="Z9" s="22"/>
      <c r="AA9" s="3"/>
    </row>
    <row r="10" spans="1:32" ht="22.5" customHeight="1">
      <c r="B10" s="7" t="s">
        <v>4</v>
      </c>
      <c r="C10" s="4"/>
      <c r="D10" s="4"/>
      <c r="E10" s="4"/>
      <c r="F10" s="22">
        <v>100.40757768598399</v>
      </c>
      <c r="G10" s="22"/>
      <c r="H10" s="22"/>
      <c r="I10" s="3"/>
      <c r="J10" s="3"/>
      <c r="K10" s="7" t="str">
        <f>$B$10</f>
        <v xml:space="preserve"> CNF</v>
      </c>
      <c r="L10" s="4"/>
      <c r="M10" s="4"/>
      <c r="N10" s="4"/>
      <c r="O10" s="22">
        <v>99.216280119785097</v>
      </c>
      <c r="P10" s="22"/>
      <c r="Q10" s="22"/>
      <c r="R10" s="3"/>
      <c r="T10" s="7" t="str">
        <f>$B$10</f>
        <v xml:space="preserve"> CNF</v>
      </c>
      <c r="U10" s="4"/>
      <c r="V10" s="4"/>
      <c r="W10" s="4"/>
      <c r="X10" s="22">
        <v>98.602425860730705</v>
      </c>
      <c r="Y10" s="22"/>
      <c r="Z10" s="22"/>
      <c r="AA10" s="3"/>
    </row>
    <row r="11" spans="1:32" ht="22.5" customHeight="1">
      <c r="B11" s="7" t="s">
        <v>11</v>
      </c>
      <c r="C11" s="4"/>
      <c r="D11" s="4"/>
      <c r="E11" s="4"/>
      <c r="F11" s="22">
        <v>98.299113978363707</v>
      </c>
      <c r="G11" s="22"/>
      <c r="H11" s="22"/>
      <c r="I11" s="3"/>
      <c r="J11" s="3"/>
      <c r="K11" s="7" t="str">
        <f>$B$11</f>
        <v xml:space="preserve"> Cyclopentane</v>
      </c>
      <c r="L11" s="4"/>
      <c r="M11" s="4"/>
      <c r="N11" s="4"/>
      <c r="O11" s="22">
        <v>97.503602672535706</v>
      </c>
      <c r="P11" s="22"/>
      <c r="Q11" s="22"/>
      <c r="R11" s="3"/>
      <c r="T11" s="7" t="str">
        <f>$B$11</f>
        <v xml:space="preserve"> Cyclopentane</v>
      </c>
      <c r="U11" s="4"/>
      <c r="V11" s="4"/>
      <c r="W11" s="4"/>
      <c r="X11" s="22">
        <v>96.371444600606594</v>
      </c>
      <c r="Y11" s="22"/>
      <c r="Z11" s="22"/>
      <c r="AA11" s="3"/>
    </row>
    <row r="12" spans="1:32" ht="22.5" customHeight="1">
      <c r="B12" s="7" t="s">
        <v>5</v>
      </c>
      <c r="C12" s="4"/>
      <c r="D12" s="4"/>
      <c r="E12" s="4"/>
      <c r="F12" s="22">
        <v>101.958743013697</v>
      </c>
      <c r="G12" s="22"/>
      <c r="H12" s="22"/>
      <c r="I12" s="3"/>
      <c r="J12" s="3"/>
      <c r="K12" s="7" t="str">
        <f>$B$12</f>
        <v xml:space="preserve"> 2-Butanone</v>
      </c>
      <c r="L12" s="4"/>
      <c r="M12" s="4"/>
      <c r="N12" s="4"/>
      <c r="O12" s="22">
        <v>101.04043067446401</v>
      </c>
      <c r="P12" s="22"/>
      <c r="Q12" s="22"/>
      <c r="R12" s="3"/>
      <c r="T12" s="7" t="str">
        <f>$B$12</f>
        <v xml:space="preserve"> 2-Butanone</v>
      </c>
      <c r="U12" s="4"/>
      <c r="V12" s="4"/>
      <c r="W12" s="4"/>
      <c r="X12" s="22">
        <v>99.993501083123803</v>
      </c>
      <c r="Y12" s="22"/>
      <c r="Z12" s="22"/>
      <c r="AA12" s="3"/>
    </row>
    <row r="13" spans="1:32" ht="22.5" customHeight="1">
      <c r="B13" s="7" t="s">
        <v>6</v>
      </c>
      <c r="C13" s="4"/>
      <c r="D13" s="4"/>
      <c r="E13" s="4"/>
      <c r="F13" s="22">
        <v>96.907010068370596</v>
      </c>
      <c r="G13" s="22"/>
      <c r="H13" s="22"/>
      <c r="I13" s="3"/>
      <c r="J13" s="3"/>
      <c r="K13" s="7" t="str">
        <f>$B$13</f>
        <v xml:space="preserve"> Ethyl Acetate</v>
      </c>
      <c r="L13" s="4"/>
      <c r="M13" s="4"/>
      <c r="N13" s="4"/>
      <c r="O13" s="22">
        <v>96.282316557771594</v>
      </c>
      <c r="P13" s="22"/>
      <c r="Q13" s="22"/>
      <c r="R13" s="3"/>
      <c r="T13" s="7" t="str">
        <f>$B$13</f>
        <v xml:space="preserve"> Ethyl Acetate</v>
      </c>
      <c r="U13" s="4"/>
      <c r="V13" s="4"/>
      <c r="W13" s="4"/>
      <c r="X13" s="22">
        <v>94.997406774159799</v>
      </c>
      <c r="Y13" s="22"/>
      <c r="Z13" s="22"/>
      <c r="AA13" s="3"/>
    </row>
    <row r="14" spans="1:32" ht="22.5" customHeight="1">
      <c r="B14" s="7" t="s">
        <v>7</v>
      </c>
      <c r="C14" s="4"/>
      <c r="D14" s="4"/>
      <c r="E14" s="4"/>
      <c r="F14" s="22">
        <v>102.80414661488101</v>
      </c>
      <c r="G14" s="22"/>
      <c r="H14" s="22"/>
      <c r="I14" s="3"/>
      <c r="J14" s="3"/>
      <c r="K14" s="7" t="str">
        <f>$B$14</f>
        <v xml:space="preserve"> Benzene</v>
      </c>
      <c r="L14" s="4"/>
      <c r="M14" s="4"/>
      <c r="N14" s="4"/>
      <c r="O14" s="22">
        <v>101.389554272289</v>
      </c>
      <c r="P14" s="22"/>
      <c r="Q14" s="22"/>
      <c r="R14" s="3"/>
      <c r="T14" s="7" t="str">
        <f>$B$14</f>
        <v xml:space="preserve"> Benzene</v>
      </c>
      <c r="U14" s="4"/>
      <c r="V14" s="4"/>
      <c r="W14" s="4"/>
      <c r="X14" s="22">
        <v>99.648043416711403</v>
      </c>
      <c r="Y14" s="22"/>
      <c r="Z14" s="22"/>
      <c r="AA14" s="3"/>
      <c r="AF14" s="11"/>
    </row>
    <row r="15" spans="1:32" ht="22.5" customHeight="1">
      <c r="B15" s="7" t="s">
        <v>8</v>
      </c>
      <c r="C15" s="4"/>
      <c r="D15" s="4"/>
      <c r="E15" s="4"/>
      <c r="F15" s="22">
        <v>103.487400613959</v>
      </c>
      <c r="G15" s="22"/>
      <c r="H15" s="22"/>
      <c r="I15" s="3"/>
      <c r="J15" s="3"/>
      <c r="K15" s="7" t="str">
        <f>$B$15</f>
        <v xml:space="preserve"> Toluene</v>
      </c>
      <c r="L15" s="4"/>
      <c r="M15" s="4"/>
      <c r="N15" s="4"/>
      <c r="O15" s="22">
        <v>102.009617511521</v>
      </c>
      <c r="P15" s="22"/>
      <c r="Q15" s="22"/>
      <c r="R15" s="3"/>
      <c r="T15" s="7" t="str">
        <f>$B$15</f>
        <v xml:space="preserve"> Toluene</v>
      </c>
      <c r="U15" s="4"/>
      <c r="V15" s="4"/>
      <c r="W15" s="4"/>
      <c r="X15" s="22">
        <v>101.27445812728</v>
      </c>
      <c r="Y15" s="22"/>
      <c r="Z15" s="22"/>
      <c r="AA15" s="3"/>
    </row>
    <row r="16" spans="1:32" ht="22.5" customHeight="1">
      <c r="B16" s="7" t="s">
        <v>15</v>
      </c>
      <c r="C16" s="4"/>
      <c r="D16" s="4"/>
      <c r="E16" s="4"/>
      <c r="F16" s="22">
        <v>99.629560892360402</v>
      </c>
      <c r="G16" s="22"/>
      <c r="H16" s="22"/>
      <c r="I16" s="3"/>
      <c r="J16" s="3"/>
      <c r="K16" s="7" t="str">
        <f>$B$16</f>
        <v xml:space="preserve"> 1,2,4-TMB</v>
      </c>
      <c r="L16" s="4"/>
      <c r="M16" s="4"/>
      <c r="N16" s="4"/>
      <c r="O16" s="22">
        <v>96.207803207510807</v>
      </c>
      <c r="P16" s="22"/>
      <c r="Q16" s="22"/>
      <c r="R16" s="3"/>
      <c r="T16" s="7" t="str">
        <f>$B$16</f>
        <v xml:space="preserve"> 1,2,4-TMB</v>
      </c>
      <c r="U16" s="4"/>
      <c r="V16" s="4"/>
      <c r="W16" s="4"/>
      <c r="X16" s="22">
        <v>97.7038129005619</v>
      </c>
      <c r="Y16" s="22"/>
      <c r="Z16" s="22"/>
      <c r="AA16" s="3"/>
    </row>
    <row r="17" spans="1:28" ht="7.5" customHeight="1">
      <c r="B17" s="5"/>
      <c r="C17" s="5"/>
      <c r="D17" s="5"/>
      <c r="E17" s="5"/>
      <c r="F17" s="5"/>
      <c r="G17" s="5"/>
      <c r="H17" s="5"/>
      <c r="I17" s="5"/>
      <c r="J17" s="3"/>
      <c r="K17" s="5"/>
      <c r="L17" s="5"/>
      <c r="M17" s="5"/>
      <c r="N17" s="5"/>
      <c r="O17" s="5"/>
      <c r="P17" s="5"/>
      <c r="Q17" s="5"/>
      <c r="R17" s="5"/>
      <c r="T17" s="5"/>
      <c r="U17" s="5"/>
      <c r="V17" s="5"/>
      <c r="W17" s="5"/>
      <c r="X17" s="5"/>
      <c r="Y17" s="5"/>
      <c r="Z17" s="5"/>
      <c r="AA17" s="5"/>
    </row>
    <row r="18" spans="1:28" ht="4.5" customHeight="1">
      <c r="B18" s="4"/>
      <c r="C18" s="4"/>
      <c r="D18" s="4"/>
      <c r="E18" s="4"/>
      <c r="F18" s="4"/>
      <c r="G18" s="4"/>
      <c r="H18" s="4"/>
      <c r="I18" s="4"/>
      <c r="J18" s="3"/>
      <c r="K18" s="4"/>
      <c r="L18" s="4"/>
      <c r="M18" s="4"/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</row>
    <row r="19" spans="1:28">
      <c r="B19" s="20" t="s">
        <v>16</v>
      </c>
      <c r="C19" s="20"/>
      <c r="D19" s="20"/>
      <c r="E19" s="20"/>
      <c r="F19" s="21" t="s">
        <v>25</v>
      </c>
      <c r="G19" s="21"/>
      <c r="H19" s="21"/>
      <c r="I19" s="21"/>
      <c r="J19" s="3"/>
      <c r="K19" s="20" t="s">
        <v>16</v>
      </c>
      <c r="L19" s="20"/>
      <c r="M19" s="20"/>
      <c r="N19" s="20"/>
      <c r="O19" s="21" t="s">
        <v>25</v>
      </c>
      <c r="P19" s="21"/>
      <c r="Q19" s="21"/>
      <c r="R19" s="21"/>
      <c r="T19" s="20" t="s">
        <v>16</v>
      </c>
      <c r="U19" s="20"/>
      <c r="V19" s="20"/>
      <c r="W19" s="20"/>
      <c r="X19" s="21" t="s">
        <v>28</v>
      </c>
      <c r="Y19" s="21"/>
      <c r="Z19" s="21"/>
      <c r="AA19" s="21"/>
    </row>
    <row r="20" spans="1:28" ht="16.5" customHeight="1">
      <c r="B20" s="18" t="s">
        <v>26</v>
      </c>
      <c r="C20" s="18"/>
      <c r="D20" s="18"/>
      <c r="E20" s="18"/>
      <c r="F20" s="18"/>
      <c r="G20" s="4"/>
      <c r="H20" s="4"/>
      <c r="I20" s="3"/>
      <c r="J20" s="3"/>
      <c r="K20" s="18" t="s">
        <v>27</v>
      </c>
      <c r="L20" s="18"/>
      <c r="M20" s="18"/>
      <c r="N20" s="18"/>
      <c r="O20" s="18"/>
      <c r="P20" s="4"/>
      <c r="Q20" s="4"/>
      <c r="R20" s="3"/>
      <c r="T20" s="18" t="s">
        <v>29</v>
      </c>
      <c r="U20" s="18"/>
      <c r="V20" s="18"/>
      <c r="W20" s="18"/>
      <c r="X20" s="18"/>
      <c r="Y20" s="4"/>
      <c r="Z20" s="4"/>
      <c r="AA20" s="3"/>
    </row>
    <row r="21" spans="1:28" ht="9.75" customHeight="1">
      <c r="B21" s="6"/>
      <c r="C21" s="6"/>
      <c r="D21" s="6"/>
      <c r="F21" s="6"/>
      <c r="G21" s="19"/>
      <c r="H21" s="19"/>
      <c r="I21" s="19"/>
      <c r="K21" s="6"/>
      <c r="L21" s="6"/>
      <c r="M21" s="6"/>
      <c r="O21" s="6"/>
      <c r="P21" s="19"/>
      <c r="Q21" s="19"/>
      <c r="R21" s="19"/>
      <c r="T21" s="6"/>
      <c r="U21" s="6"/>
      <c r="V21" s="6"/>
      <c r="X21" s="6"/>
      <c r="Y21" s="19"/>
      <c r="Z21" s="19"/>
      <c r="AA21" s="19"/>
    </row>
    <row r="22" spans="1:28">
      <c r="B22" s="16" t="s">
        <v>9</v>
      </c>
      <c r="C22" s="16"/>
      <c r="D22" s="16"/>
      <c r="F22" s="17" t="s">
        <v>10</v>
      </c>
      <c r="G22" s="17"/>
      <c r="H22" s="17"/>
      <c r="I22" s="17"/>
      <c r="K22" s="16" t="str">
        <f>$B$22</f>
        <v>安裝Engineer  Signature  / Date</v>
      </c>
      <c r="L22" s="16"/>
      <c r="M22" s="16"/>
      <c r="O22" s="17" t="str">
        <f>$F$22</f>
        <v>Authorized Signature  / Date</v>
      </c>
      <c r="P22" s="17"/>
      <c r="Q22" s="17"/>
      <c r="R22" s="17"/>
      <c r="T22" s="16" t="str">
        <f>$B$22</f>
        <v>安裝Engineer  Signature  / Date</v>
      </c>
      <c r="U22" s="16"/>
      <c r="V22" s="16"/>
      <c r="X22" s="17" t="str">
        <f>$F$22</f>
        <v>Authorized Signature  / Date</v>
      </c>
      <c r="Y22" s="17"/>
      <c r="Z22" s="17"/>
      <c r="AA22" s="17"/>
    </row>
    <row r="23" spans="1:28" ht="3.75" customHeight="1">
      <c r="A23" t="s">
        <v>12</v>
      </c>
      <c r="J23" t="s">
        <v>12</v>
      </c>
      <c r="S23" t="s">
        <v>12</v>
      </c>
      <c r="AB23" t="s">
        <v>12</v>
      </c>
    </row>
    <row r="26" spans="1:28" ht="12" customHeight="1"/>
    <row r="27" spans="1:28" ht="4.5" customHeight="1"/>
    <row r="28" spans="1:28" s="8" customFormat="1" ht="22.5" customHeight="1">
      <c r="B28" s="9" t="str">
        <f>$B$6</f>
        <v xml:space="preserve">NF-SEMI STD  : </v>
      </c>
      <c r="C28" s="9"/>
      <c r="F28" s="19" t="s">
        <v>30</v>
      </c>
      <c r="G28" s="19"/>
      <c r="H28" s="19"/>
      <c r="K28" s="9" t="str">
        <f>$B$6</f>
        <v xml:space="preserve">NF-SEMI STD  : </v>
      </c>
      <c r="L28" s="9"/>
      <c r="O28" s="19" t="s">
        <v>31</v>
      </c>
      <c r="P28" s="19"/>
      <c r="Q28" s="19"/>
      <c r="T28" s="9" t="str">
        <f>$B$6</f>
        <v xml:space="preserve">NF-SEMI STD  : </v>
      </c>
      <c r="U28" s="9"/>
      <c r="X28" s="19" t="s">
        <v>32</v>
      </c>
      <c r="Y28" s="19"/>
      <c r="Z28" s="19"/>
    </row>
    <row r="29" spans="1:28">
      <c r="B29" s="1" t="str">
        <f>$B$7</f>
        <v xml:space="preserve"> Compounds </v>
      </c>
      <c r="C29" s="1"/>
      <c r="D29" s="1"/>
      <c r="E29" s="1" t="str">
        <f>$E$7</f>
        <v>Analytical Results (ppb)</v>
      </c>
      <c r="F29" s="1"/>
      <c r="G29" s="1"/>
      <c r="H29" s="2"/>
      <c r="I29" s="2"/>
      <c r="J29" s="3"/>
      <c r="K29" s="1" t="str">
        <f>$B$7</f>
        <v xml:space="preserve"> Compounds </v>
      </c>
      <c r="L29" s="1"/>
      <c r="M29" s="1"/>
      <c r="N29" s="1" t="str">
        <f>$E$7</f>
        <v>Analytical Results (ppb)</v>
      </c>
      <c r="O29" s="1"/>
      <c r="P29" s="1"/>
      <c r="Q29" s="2"/>
      <c r="R29" s="2"/>
      <c r="T29" s="1" t="str">
        <f>$B$7</f>
        <v xml:space="preserve"> Compounds </v>
      </c>
      <c r="U29" s="1"/>
      <c r="V29" s="1"/>
      <c r="W29" s="1" t="str">
        <f>$E$7</f>
        <v>Analytical Results (ppb)</v>
      </c>
      <c r="X29" s="1"/>
      <c r="Y29" s="1"/>
      <c r="Z29" s="2"/>
      <c r="AA29" s="2"/>
    </row>
    <row r="30" spans="1:28" ht="22.5" customHeight="1">
      <c r="B30" s="7" t="str">
        <f>$B$8</f>
        <v xml:space="preserve"> Acetone</v>
      </c>
      <c r="C30" s="4"/>
      <c r="D30" s="4"/>
      <c r="E30" s="4"/>
      <c r="F30" s="22">
        <v>97.031525017988997</v>
      </c>
      <c r="G30" s="22"/>
      <c r="H30" s="22"/>
      <c r="I30" s="3"/>
      <c r="J30" s="3"/>
      <c r="K30" s="7" t="str">
        <f>$B$8</f>
        <v xml:space="preserve"> Acetone</v>
      </c>
      <c r="L30" s="4"/>
      <c r="M30" s="4"/>
      <c r="N30" s="4"/>
      <c r="O30" s="22">
        <v>97.804102007427204</v>
      </c>
      <c r="P30" s="22"/>
      <c r="Q30" s="22"/>
      <c r="R30" s="3"/>
      <c r="T30" s="7" t="str">
        <f>$B$8</f>
        <v xml:space="preserve"> Acetone</v>
      </c>
      <c r="U30" s="4"/>
      <c r="V30" s="4"/>
      <c r="W30" s="4"/>
      <c r="X30" s="22">
        <v>99.026887790332495</v>
      </c>
      <c r="Y30" s="22"/>
      <c r="Z30" s="22"/>
      <c r="AA30" s="3"/>
    </row>
    <row r="31" spans="1:28" ht="22.5" customHeight="1">
      <c r="B31" s="7" t="str">
        <f>$B$9</f>
        <v xml:space="preserve"> IPA</v>
      </c>
      <c r="C31" s="4"/>
      <c r="D31" s="4"/>
      <c r="E31" s="4"/>
      <c r="F31" s="22">
        <v>109.7040671365</v>
      </c>
      <c r="G31" s="22"/>
      <c r="H31" s="22"/>
      <c r="I31" s="3"/>
      <c r="J31" s="3"/>
      <c r="K31" s="7" t="str">
        <f>$B$9</f>
        <v xml:space="preserve"> IPA</v>
      </c>
      <c r="L31" s="4"/>
      <c r="M31" s="4"/>
      <c r="N31" s="4"/>
      <c r="O31" s="22">
        <v>106.6585660695</v>
      </c>
      <c r="P31" s="22"/>
      <c r="Q31" s="22"/>
      <c r="R31" s="3"/>
      <c r="T31" s="7" t="str">
        <f>$B$9</f>
        <v xml:space="preserve"> IPA</v>
      </c>
      <c r="U31" s="4"/>
      <c r="V31" s="4"/>
      <c r="W31" s="4"/>
      <c r="X31" s="22">
        <v>109.5900657875</v>
      </c>
      <c r="Y31" s="22"/>
      <c r="Z31" s="22"/>
      <c r="AA31" s="3"/>
      <c r="AB31" t="s">
        <v>14</v>
      </c>
    </row>
    <row r="32" spans="1:28" ht="22.5" customHeight="1">
      <c r="B32" s="7" t="str">
        <f>$B$10</f>
        <v xml:space="preserve"> CNF</v>
      </c>
      <c r="C32" s="4"/>
      <c r="D32" s="4"/>
      <c r="E32" s="4"/>
      <c r="F32" s="22">
        <v>99.318255230386697</v>
      </c>
      <c r="G32" s="22"/>
      <c r="H32" s="22"/>
      <c r="I32" s="3"/>
      <c r="J32" s="3"/>
      <c r="K32" s="7" t="str">
        <f>$B$10</f>
        <v xml:space="preserve"> CNF</v>
      </c>
      <c r="L32" s="4"/>
      <c r="M32" s="4"/>
      <c r="N32" s="4"/>
      <c r="O32" s="22">
        <v>99.0200573032226</v>
      </c>
      <c r="P32" s="22"/>
      <c r="Q32" s="22"/>
      <c r="R32" s="3"/>
      <c r="T32" s="7" t="str">
        <f>$B$10</f>
        <v xml:space="preserve"> CNF</v>
      </c>
      <c r="U32" s="4"/>
      <c r="V32" s="4"/>
      <c r="W32" s="4"/>
      <c r="X32" s="22">
        <v>101.000798490208</v>
      </c>
      <c r="Y32" s="22"/>
      <c r="Z32" s="22"/>
      <c r="AA32" s="3"/>
    </row>
    <row r="33" spans="1:70" ht="22.5" customHeight="1">
      <c r="B33" s="7" t="str">
        <f>$B$11</f>
        <v xml:space="preserve"> Cyclopentane</v>
      </c>
      <c r="C33" s="4"/>
      <c r="D33" s="4"/>
      <c r="E33" s="4"/>
      <c r="F33" s="22">
        <v>94.797780271157094</v>
      </c>
      <c r="G33" s="22"/>
      <c r="H33" s="22"/>
      <c r="I33" s="3"/>
      <c r="J33" s="3"/>
      <c r="K33" s="7" t="str">
        <f>$B$11</f>
        <v xml:space="preserve"> Cyclopentane</v>
      </c>
      <c r="L33" s="4"/>
      <c r="M33" s="4"/>
      <c r="N33" s="4"/>
      <c r="O33" s="22">
        <v>95.365060145022596</v>
      </c>
      <c r="P33" s="22"/>
      <c r="Q33" s="22"/>
      <c r="R33" s="3"/>
      <c r="T33" s="7" t="str">
        <f>$B$11</f>
        <v xml:space="preserve"> Cyclopentane</v>
      </c>
      <c r="U33" s="4"/>
      <c r="V33" s="4"/>
      <c r="W33" s="4"/>
      <c r="X33" s="22">
        <v>97.312130073336505</v>
      </c>
      <c r="Y33" s="22"/>
      <c r="Z33" s="22"/>
      <c r="AA33" s="3"/>
    </row>
    <row r="34" spans="1:70" ht="22.5" customHeight="1">
      <c r="B34" s="7" t="str">
        <f>$B$12</f>
        <v xml:space="preserve"> 2-Butanone</v>
      </c>
      <c r="C34" s="4"/>
      <c r="D34" s="4"/>
      <c r="E34" s="4"/>
      <c r="F34" s="22">
        <v>97.948038875785699</v>
      </c>
      <c r="G34" s="22"/>
      <c r="H34" s="22"/>
      <c r="I34" s="3"/>
      <c r="J34" s="3"/>
      <c r="K34" s="7" t="str">
        <f>$B$12</f>
        <v xml:space="preserve"> 2-Butanone</v>
      </c>
      <c r="L34" s="4"/>
      <c r="M34" s="4"/>
      <c r="N34" s="4"/>
      <c r="O34" s="22">
        <v>98.834756933806602</v>
      </c>
      <c r="P34" s="22"/>
      <c r="Q34" s="22"/>
      <c r="R34" s="3"/>
      <c r="T34" s="7" t="str">
        <f>$B$12</f>
        <v xml:space="preserve"> 2-Butanone</v>
      </c>
      <c r="U34" s="4"/>
      <c r="V34" s="4"/>
      <c r="W34" s="4"/>
      <c r="X34" s="22">
        <v>101.07404364837799</v>
      </c>
      <c r="Y34" s="22"/>
      <c r="Z34" s="22"/>
      <c r="AA34" s="3"/>
      <c r="AF34" s="12"/>
      <c r="AG34" s="13"/>
      <c r="AH34" s="14"/>
      <c r="AI34" s="14"/>
      <c r="AJ34" s="12"/>
      <c r="AK34" s="12"/>
      <c r="AL34" s="12"/>
      <c r="AM34" s="14"/>
      <c r="AN34" s="14"/>
      <c r="AO34" s="12"/>
      <c r="AP34" s="14"/>
      <c r="AQ34" s="12"/>
      <c r="AR34" s="14"/>
      <c r="AS34" s="12"/>
      <c r="AT34" s="12"/>
      <c r="AU34" s="12"/>
      <c r="AV34" s="14"/>
      <c r="AW34" s="14"/>
      <c r="AX34" s="12"/>
      <c r="AY34" s="12"/>
      <c r="AZ34" s="12"/>
      <c r="BA34" s="15"/>
      <c r="BB34" s="14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4"/>
      <c r="BN34" s="12"/>
      <c r="BO34" s="12"/>
      <c r="BP34" s="12"/>
      <c r="BQ34" s="14"/>
      <c r="BR34" s="12"/>
    </row>
    <row r="35" spans="1:70" ht="22.5" customHeight="1">
      <c r="B35" s="7" t="str">
        <f>$B$13</f>
        <v xml:space="preserve"> Ethyl Acetate</v>
      </c>
      <c r="C35" s="4"/>
      <c r="D35" s="4"/>
      <c r="E35" s="4"/>
      <c r="F35" s="22">
        <v>93.180259460310296</v>
      </c>
      <c r="G35" s="22"/>
      <c r="H35" s="22"/>
      <c r="I35" s="3"/>
      <c r="J35" s="3"/>
      <c r="K35" s="7" t="str">
        <f>$B$13</f>
        <v xml:space="preserve"> Ethyl Acetate</v>
      </c>
      <c r="L35" s="4"/>
      <c r="M35" s="4"/>
      <c r="N35" s="4"/>
      <c r="O35" s="22">
        <v>93.713708964234002</v>
      </c>
      <c r="P35" s="22"/>
      <c r="Q35" s="22"/>
      <c r="R35" s="3"/>
      <c r="T35" s="7" t="str">
        <f>$B$13</f>
        <v xml:space="preserve"> Ethyl Acetate</v>
      </c>
      <c r="U35" s="4"/>
      <c r="V35" s="4"/>
      <c r="W35" s="4"/>
      <c r="X35" s="22">
        <v>96.057426088365503</v>
      </c>
      <c r="Y35" s="22"/>
      <c r="Z35" s="22"/>
      <c r="AA35" s="3"/>
      <c r="AF35" s="12"/>
      <c r="AG35" s="13"/>
      <c r="AH35" s="14"/>
      <c r="AI35" s="14"/>
      <c r="AJ35" s="12"/>
      <c r="AK35" s="12"/>
      <c r="AL35" s="12"/>
      <c r="AM35" s="14"/>
      <c r="AN35" s="14"/>
      <c r="AO35" s="12"/>
      <c r="AP35" s="14"/>
      <c r="AQ35" s="12"/>
      <c r="AR35" s="14"/>
      <c r="AS35" s="12"/>
      <c r="AT35" s="12"/>
      <c r="AU35" s="12"/>
      <c r="AV35" s="14"/>
      <c r="AW35" s="14"/>
      <c r="AX35" s="12"/>
      <c r="AY35" s="12"/>
      <c r="AZ35" s="12"/>
      <c r="BA35" s="12"/>
      <c r="BB35" s="14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4"/>
      <c r="BN35" s="12"/>
      <c r="BO35" s="12"/>
      <c r="BP35" s="12"/>
      <c r="BQ35" s="14"/>
      <c r="BR35" s="12"/>
    </row>
    <row r="36" spans="1:70" ht="22.5" customHeight="1">
      <c r="B36" s="7" t="str">
        <f>$B$14</f>
        <v xml:space="preserve"> Benzene</v>
      </c>
      <c r="C36" s="4"/>
      <c r="D36" s="4"/>
      <c r="E36" s="4"/>
      <c r="F36" s="22">
        <v>98.6456062747517</v>
      </c>
      <c r="G36" s="22"/>
      <c r="H36" s="22"/>
      <c r="I36" s="3"/>
      <c r="J36" s="3"/>
      <c r="K36" s="7" t="str">
        <f>$B$14</f>
        <v xml:space="preserve"> Benzene</v>
      </c>
      <c r="L36" s="4"/>
      <c r="M36" s="4"/>
      <c r="N36" s="4"/>
      <c r="O36" s="22">
        <v>98.057265624134601</v>
      </c>
      <c r="P36" s="22"/>
      <c r="Q36" s="22"/>
      <c r="R36" s="3"/>
      <c r="T36" s="7" t="str">
        <f>$B$14</f>
        <v xml:space="preserve"> Benzene</v>
      </c>
      <c r="U36" s="4"/>
      <c r="V36" s="4"/>
      <c r="W36" s="4"/>
      <c r="X36" s="22">
        <v>101.419940409418</v>
      </c>
      <c r="Y36" s="22"/>
      <c r="Z36" s="22"/>
      <c r="AA36" s="3"/>
    </row>
    <row r="37" spans="1:70" ht="22.5" customHeight="1">
      <c r="B37" s="7" t="str">
        <f>$B$15</f>
        <v xml:space="preserve"> Toluene</v>
      </c>
      <c r="C37" s="4"/>
      <c r="D37" s="4"/>
      <c r="E37" s="4"/>
      <c r="F37" s="22">
        <v>100.714369898556</v>
      </c>
      <c r="G37" s="22"/>
      <c r="H37" s="22"/>
      <c r="I37" s="3"/>
      <c r="J37" s="3"/>
      <c r="K37" s="7" t="str">
        <f>$B$15</f>
        <v xml:space="preserve"> Toluene</v>
      </c>
      <c r="L37" s="4"/>
      <c r="M37" s="4"/>
      <c r="N37" s="4"/>
      <c r="O37" s="22">
        <v>100.06680946054399</v>
      </c>
      <c r="P37" s="22"/>
      <c r="Q37" s="22"/>
      <c r="R37" s="3"/>
      <c r="T37" s="7" t="str">
        <f>$B$15</f>
        <v xml:space="preserve"> Toluene</v>
      </c>
      <c r="U37" s="4"/>
      <c r="V37" s="4"/>
      <c r="W37" s="4"/>
      <c r="X37" s="22">
        <v>103.649648880987</v>
      </c>
      <c r="Y37" s="22"/>
      <c r="Z37" s="22"/>
      <c r="AA37" s="3"/>
    </row>
    <row r="38" spans="1:70" ht="22.5" customHeight="1">
      <c r="B38" s="7" t="str">
        <f>$B$16</f>
        <v xml:space="preserve"> 1,2,4-TMB</v>
      </c>
      <c r="C38" s="4"/>
      <c r="D38" s="4"/>
      <c r="E38" s="4"/>
      <c r="F38" s="22">
        <v>98.3763987949701</v>
      </c>
      <c r="G38" s="22"/>
      <c r="H38" s="22"/>
      <c r="I38" s="3"/>
      <c r="J38" s="3"/>
      <c r="K38" s="7" t="str">
        <f>$B$16</f>
        <v xml:space="preserve"> 1,2,4-TMB</v>
      </c>
      <c r="L38" s="4"/>
      <c r="M38" s="4"/>
      <c r="N38" s="4"/>
      <c r="O38" s="22">
        <v>96.173970793752105</v>
      </c>
      <c r="P38" s="22"/>
      <c r="Q38" s="22"/>
      <c r="R38" s="3"/>
      <c r="T38" s="7" t="str">
        <f>$B$16</f>
        <v xml:space="preserve"> 1,2,4-TMB</v>
      </c>
      <c r="U38" s="4"/>
      <c r="V38" s="4"/>
      <c r="W38" s="4"/>
      <c r="X38" s="22">
        <v>101.037638487332</v>
      </c>
      <c r="Y38" s="22"/>
      <c r="Z38" s="22"/>
      <c r="AA38" s="3"/>
    </row>
    <row r="39" spans="1:70" ht="7.5" customHeight="1">
      <c r="B39" s="5"/>
      <c r="C39" s="5"/>
      <c r="D39" s="5"/>
      <c r="E39" s="5"/>
      <c r="F39" s="5"/>
      <c r="G39" s="5"/>
      <c r="H39" s="5"/>
      <c r="I39" s="5"/>
      <c r="J39" s="3"/>
      <c r="K39" s="5"/>
      <c r="L39" s="5"/>
      <c r="M39" s="5"/>
      <c r="N39" s="5"/>
      <c r="O39" s="5"/>
      <c r="P39" s="5"/>
      <c r="Q39" s="5"/>
      <c r="R39" s="5"/>
      <c r="T39" s="5"/>
      <c r="U39" s="5"/>
      <c r="V39" s="5"/>
      <c r="W39" s="5"/>
      <c r="X39" s="5"/>
      <c r="Y39" s="5"/>
      <c r="Z39" s="5"/>
      <c r="AA39" s="5"/>
    </row>
    <row r="40" spans="1:70" ht="4.5" customHeight="1">
      <c r="B40" s="4"/>
      <c r="C40" s="4"/>
      <c r="D40" s="4"/>
      <c r="E40" s="4"/>
      <c r="F40" s="4"/>
      <c r="G40" s="4"/>
      <c r="H40" s="4"/>
      <c r="I40" s="4"/>
      <c r="J40" s="3"/>
      <c r="K40" s="4"/>
      <c r="L40" s="4"/>
      <c r="M40" s="4"/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</row>
    <row r="41" spans="1:70">
      <c r="B41" s="20" t="s">
        <v>16</v>
      </c>
      <c r="C41" s="20"/>
      <c r="D41" s="20"/>
      <c r="E41" s="20"/>
      <c r="F41" s="21" t="s">
        <v>33</v>
      </c>
      <c r="G41" s="21"/>
      <c r="H41" s="21"/>
      <c r="I41" s="21"/>
      <c r="J41" s="3"/>
      <c r="K41" s="20" t="s">
        <v>16</v>
      </c>
      <c r="L41" s="20"/>
      <c r="M41" s="20"/>
      <c r="N41" s="20"/>
      <c r="O41" s="21" t="s">
        <v>33</v>
      </c>
      <c r="P41" s="21"/>
      <c r="Q41" s="21"/>
      <c r="R41" s="21"/>
      <c r="T41" s="20" t="s">
        <v>16</v>
      </c>
      <c r="U41" s="20"/>
      <c r="V41" s="20"/>
      <c r="W41" s="20"/>
      <c r="X41" s="21" t="s">
        <v>36</v>
      </c>
      <c r="Y41" s="21"/>
      <c r="Z41" s="21"/>
      <c r="AA41" s="21"/>
    </row>
    <row r="42" spans="1:70" ht="16.5" customHeight="1">
      <c r="B42" s="18" t="s">
        <v>34</v>
      </c>
      <c r="C42" s="18"/>
      <c r="D42" s="18"/>
      <c r="E42" s="18"/>
      <c r="F42" s="18"/>
      <c r="G42" s="4"/>
      <c r="H42" s="4"/>
      <c r="I42" s="3"/>
      <c r="J42" s="3"/>
      <c r="K42" s="18" t="s">
        <v>35</v>
      </c>
      <c r="L42" s="18"/>
      <c r="M42" s="18"/>
      <c r="N42" s="18"/>
      <c r="O42" s="18"/>
      <c r="P42" s="4"/>
      <c r="Q42" s="4"/>
      <c r="R42" s="3"/>
      <c r="T42" s="18" t="s">
        <v>37</v>
      </c>
      <c r="U42" s="18"/>
      <c r="V42" s="18"/>
      <c r="W42" s="18"/>
      <c r="X42" s="18"/>
      <c r="Y42" s="4"/>
      <c r="Z42" s="4"/>
      <c r="AA42" s="3"/>
    </row>
    <row r="43" spans="1:70" ht="9.75" customHeight="1">
      <c r="B43" s="6"/>
      <c r="C43" s="6"/>
      <c r="D43" s="6"/>
      <c r="F43" s="6"/>
      <c r="G43" s="19"/>
      <c r="H43" s="19"/>
      <c r="I43" s="19"/>
      <c r="K43" s="6"/>
      <c r="L43" s="6"/>
      <c r="M43" s="6"/>
      <c r="O43" s="6"/>
      <c r="P43" s="19"/>
      <c r="Q43" s="19"/>
      <c r="R43" s="19"/>
      <c r="T43" s="6"/>
      <c r="U43" s="6"/>
      <c r="V43" s="6"/>
      <c r="X43" s="6"/>
      <c r="Y43" s="19"/>
      <c r="Z43" s="19"/>
      <c r="AA43" s="19"/>
    </row>
    <row r="44" spans="1:70">
      <c r="B44" s="16" t="str">
        <f>$B$22</f>
        <v>安裝Engineer  Signature  / Date</v>
      </c>
      <c r="C44" s="16"/>
      <c r="D44" s="16"/>
      <c r="F44" s="17" t="str">
        <f>$F$22</f>
        <v>Authorized Signature  / Date</v>
      </c>
      <c r="G44" s="17"/>
      <c r="H44" s="17"/>
      <c r="I44" s="17"/>
      <c r="K44" s="16" t="str">
        <f>$B$22</f>
        <v>安裝Engineer  Signature  / Date</v>
      </c>
      <c r="L44" s="16"/>
      <c r="M44" s="16"/>
      <c r="O44" s="17" t="str">
        <f>$F$22</f>
        <v>Authorized Signature  / Date</v>
      </c>
      <c r="P44" s="17"/>
      <c r="Q44" s="17"/>
      <c r="R44" s="17"/>
      <c r="T44" s="16" t="str">
        <f>$B$22</f>
        <v>安裝Engineer  Signature  / Date</v>
      </c>
      <c r="U44" s="16"/>
      <c r="V44" s="16"/>
      <c r="X44" s="17" t="str">
        <f>$F$22</f>
        <v>Authorized Signature  / Date</v>
      </c>
      <c r="Y44" s="17"/>
      <c r="Z44" s="17"/>
      <c r="AA44" s="17"/>
    </row>
    <row r="45" spans="1:70" ht="3" customHeight="1">
      <c r="A45" t="s">
        <v>12</v>
      </c>
      <c r="J45" t="s">
        <v>12</v>
      </c>
      <c r="S45" t="s">
        <v>12</v>
      </c>
      <c r="AB45" t="s">
        <v>12</v>
      </c>
    </row>
    <row r="48" spans="1:70" ht="12" customHeight="1"/>
    <row r="49" spans="2:27" ht="4.5" customHeight="1"/>
    <row r="50" spans="2:27" s="8" customFormat="1" ht="22.5" customHeight="1">
      <c r="B50" s="9" t="str">
        <f>$B$6</f>
        <v xml:space="preserve">NF-SEMI STD  : </v>
      </c>
      <c r="C50" s="9"/>
      <c r="F50" s="19" t="s">
        <v>38</v>
      </c>
      <c r="G50" s="19"/>
      <c r="H50" s="19"/>
      <c r="K50" s="9" t="str">
        <f>$B$6</f>
        <v xml:space="preserve">NF-SEMI STD  : </v>
      </c>
      <c r="L50" s="9"/>
      <c r="O50" s="19" t="str">
        <f ca="1">IF(OFFSET([1]autofill!$B$2,(INT(ROW(P50)/22)*3)+((COLUMN(P50)+2)/9),0)="","",OFFSET([1]autofill!$B$2,(INT(ROW(P50)/22)*3)+((COLUMN(P50)+2)/9),0))</f>
        <v/>
      </c>
      <c r="P50" s="19"/>
      <c r="Q50" s="19"/>
      <c r="T50" s="9" t="str">
        <f>$B$6</f>
        <v xml:space="preserve">NF-SEMI STD  : </v>
      </c>
      <c r="U50" s="9"/>
      <c r="X50" s="19" t="str">
        <f ca="1">IF(OFFSET([1]autofill!$B$2,(INT(ROW(Y50)/22)*3)+((COLUMN(Y50)+2)/9),0)="","",OFFSET([1]autofill!$B$2,(INT(ROW(Y50)/22)*3)+((COLUMN(Y50)+2)/9),0))</f>
        <v/>
      </c>
      <c r="Y50" s="19"/>
      <c r="Z50" s="19"/>
    </row>
    <row r="51" spans="2:27">
      <c r="B51" s="1" t="str">
        <f>$B$7</f>
        <v xml:space="preserve"> Compounds </v>
      </c>
      <c r="C51" s="1"/>
      <c r="D51" s="1"/>
      <c r="E51" s="1" t="str">
        <f>$E$7</f>
        <v>Analytical Results (ppb)</v>
      </c>
      <c r="F51" s="1"/>
      <c r="G51" s="1"/>
      <c r="H51" s="2"/>
      <c r="I51" s="2"/>
      <c r="J51" s="3"/>
      <c r="K51" s="1" t="str">
        <f>$B$7</f>
        <v xml:space="preserve"> Compounds </v>
      </c>
      <c r="L51" s="1"/>
      <c r="M51" s="1"/>
      <c r="N51" s="1" t="str">
        <f>$E$7</f>
        <v>Analytical Results (ppb)</v>
      </c>
      <c r="O51" s="1"/>
      <c r="P51" s="1"/>
      <c r="Q51" s="2"/>
      <c r="R51" s="2"/>
      <c r="T51" s="1" t="str">
        <f>$B$7</f>
        <v xml:space="preserve"> Compounds </v>
      </c>
      <c r="U51" s="1"/>
      <c r="V51" s="1"/>
      <c r="W51" s="1" t="str">
        <f>$E$7</f>
        <v>Analytical Results (ppb)</v>
      </c>
      <c r="X51" s="1"/>
      <c r="Y51" s="1"/>
      <c r="Z51" s="2"/>
      <c r="AA51" s="2"/>
    </row>
    <row r="52" spans="2:27" ht="22.5" customHeight="1">
      <c r="B52" s="7" t="str">
        <f>$B$8</f>
        <v xml:space="preserve"> Acetone</v>
      </c>
      <c r="C52" s="4"/>
      <c r="D52" s="4"/>
      <c r="E52" s="4"/>
      <c r="F52" s="22">
        <v>99.319481956289394</v>
      </c>
      <c r="G52" s="22"/>
      <c r="H52" s="22"/>
      <c r="I52" s="3"/>
      <c r="J52" s="3"/>
      <c r="K52" s="7" t="str">
        <f>$B$8</f>
        <v xml:space="preserve"> Acetone</v>
      </c>
      <c r="L52" s="4"/>
      <c r="M52" s="4"/>
      <c r="N52" s="4"/>
      <c r="O52" s="22" t="str">
        <f ca="1">IFERROR(IF(OFFSET([1]autofill!$G$2,(INT(ROW(P49)/22)*3)+((COLUMN(P49)+2)/9),MATCH(RIGHT(K52,LEN(K52)-1),[1]autofill!$H$2:$AT$2,0))="","",OFFSET([1]autofill!$G$2,(INT(ROW(P49)/22)*3)+((COLUMN(P49)+2)/9),MATCH(RIGHT(K52,LEN(K52)-1),[1]autofill!$H$2:$AT$2,0))),"")</f>
        <v/>
      </c>
      <c r="P52" s="22"/>
      <c r="Q52" s="22"/>
      <c r="R52" s="3"/>
      <c r="T52" s="7" t="str">
        <f>$B$8</f>
        <v xml:space="preserve"> Acetone</v>
      </c>
      <c r="U52" s="4"/>
      <c r="V52" s="4"/>
      <c r="W52" s="4"/>
      <c r="X52" s="22" t="str">
        <f ca="1">IFERROR(IF(OFFSET([1]autofill!$G$2,(INT(ROW(Y49)/22)*3)+((COLUMN(Y49)+2)/9),MATCH(RIGHT(T52,LEN(T52)-1),[1]autofill!$H$2:$AT$2,0))="","",OFFSET([1]autofill!$G$2,(INT(ROW(Y49)/22)*3)+((COLUMN(Y49)+2)/9),MATCH(RIGHT(T52,LEN(T52)-1),[1]autofill!$H$2:$AT$2,0))),"")</f>
        <v/>
      </c>
      <c r="Y52" s="22"/>
      <c r="Z52" s="22"/>
      <c r="AA52" s="3"/>
    </row>
    <row r="53" spans="2:27" ht="22.5" customHeight="1">
      <c r="B53" s="7" t="str">
        <f>$B$9</f>
        <v xml:space="preserve"> IPA</v>
      </c>
      <c r="C53" s="4"/>
      <c r="D53" s="4"/>
      <c r="E53" s="4"/>
      <c r="F53" s="22">
        <v>106.499565289</v>
      </c>
      <c r="G53" s="22"/>
      <c r="H53" s="22"/>
      <c r="I53" s="3"/>
      <c r="J53" s="3"/>
      <c r="K53" s="7" t="str">
        <f>$B$9</f>
        <v xml:space="preserve"> IPA</v>
      </c>
      <c r="L53" s="4"/>
      <c r="M53" s="4"/>
      <c r="N53" s="4"/>
      <c r="O53" s="22" t="str">
        <f ca="1">IFERROR(IF(OFFSET([1]autofill!$G$2,(INT(ROW(P50)/22)*3)+((COLUMN(P50)+2)/9),MATCH(RIGHT(K53,LEN(K53)-1),[1]autofill!$H$2:$AT$2,0))="","",OFFSET([1]autofill!$G$2,(INT(ROW(P50)/22)*3)+((COLUMN(P50)+2)/9),MATCH(RIGHT(K53,LEN(K53)-1),[1]autofill!$H$2:$AT$2,0))),"")</f>
        <v/>
      </c>
      <c r="P53" s="22"/>
      <c r="Q53" s="22"/>
      <c r="R53" s="3"/>
      <c r="T53" s="7" t="str">
        <f>$B$9</f>
        <v xml:space="preserve"> IPA</v>
      </c>
      <c r="U53" s="4"/>
      <c r="V53" s="4"/>
      <c r="W53" s="4"/>
      <c r="X53" s="22" t="str">
        <f ca="1">IFERROR(IF(OFFSET([1]autofill!$G$2,(INT(ROW(Y50)/22)*3)+((COLUMN(Y50)+2)/9),MATCH(RIGHT(T53,LEN(T53)-1),[1]autofill!$H$2:$AT$2,0))="","",OFFSET([1]autofill!$G$2,(INT(ROW(Y50)/22)*3)+((COLUMN(Y50)+2)/9),MATCH(RIGHT(T53,LEN(T53)-1),[1]autofill!$H$2:$AT$2,0))),"")</f>
        <v/>
      </c>
      <c r="Y53" s="22"/>
      <c r="Z53" s="22"/>
      <c r="AA53" s="3"/>
    </row>
    <row r="54" spans="2:27" ht="22.5" customHeight="1">
      <c r="B54" s="7" t="str">
        <f>$B$10</f>
        <v xml:space="preserve"> CNF</v>
      </c>
      <c r="C54" s="4"/>
      <c r="D54" s="4"/>
      <c r="E54" s="4"/>
      <c r="F54" s="22">
        <v>101.57133101167901</v>
      </c>
      <c r="G54" s="22"/>
      <c r="H54" s="22"/>
      <c r="I54" s="3"/>
      <c r="J54" s="3"/>
      <c r="K54" s="7" t="str">
        <f>$B$10</f>
        <v xml:space="preserve"> CNF</v>
      </c>
      <c r="L54" s="4"/>
      <c r="M54" s="4"/>
      <c r="N54" s="4"/>
      <c r="O54" s="22" t="str">
        <f ca="1">IFERROR(IF(OFFSET([1]autofill!$G$2,(INT(ROW(P51)/22)*3)+((COLUMN(P51)+2)/9),MATCH(RIGHT(K54,LEN(K54)-1),[1]autofill!$H$2:$AT$2,0))="","",OFFSET([1]autofill!$G$2,(INT(ROW(P51)/22)*3)+((COLUMN(P51)+2)/9),MATCH(RIGHT(K54,LEN(K54)-1),[1]autofill!$H$2:$AT$2,0))),"")</f>
        <v/>
      </c>
      <c r="P54" s="22"/>
      <c r="Q54" s="22"/>
      <c r="R54" s="3"/>
      <c r="T54" s="7" t="str">
        <f>$B$10</f>
        <v xml:space="preserve"> CNF</v>
      </c>
      <c r="U54" s="4"/>
      <c r="V54" s="4"/>
      <c r="W54" s="4"/>
      <c r="X54" s="22" t="str">
        <f ca="1">IFERROR(IF(OFFSET([1]autofill!$G$2,(INT(ROW(Y51)/22)*3)+((COLUMN(Y51)+2)/9),MATCH(RIGHT(T54,LEN(T54)-1),[1]autofill!$H$2:$AT$2,0))="","",OFFSET([1]autofill!$G$2,(INT(ROW(Y51)/22)*3)+((COLUMN(Y51)+2)/9),MATCH(RIGHT(T54,LEN(T54)-1),[1]autofill!$H$2:$AT$2,0))),"")</f>
        <v/>
      </c>
      <c r="Y54" s="22"/>
      <c r="Z54" s="22"/>
      <c r="AA54" s="3"/>
    </row>
    <row r="55" spans="2:27" ht="22.5" customHeight="1">
      <c r="B55" s="7" t="str">
        <f>$B$11</f>
        <v xml:space="preserve"> Cyclopentane</v>
      </c>
      <c r="C55" s="4"/>
      <c r="D55" s="4"/>
      <c r="E55" s="4"/>
      <c r="F55" s="22">
        <v>97.874269432546797</v>
      </c>
      <c r="G55" s="22"/>
      <c r="H55" s="22"/>
      <c r="I55" s="3"/>
      <c r="J55" s="3"/>
      <c r="K55" s="7" t="str">
        <f>$B$11</f>
        <v xml:space="preserve"> Cyclopentane</v>
      </c>
      <c r="L55" s="4"/>
      <c r="M55" s="4"/>
      <c r="N55" s="4"/>
      <c r="O55" s="22" t="str">
        <f ca="1">IFERROR(IF(OFFSET([1]autofill!$G$2,(INT(ROW(P52)/22)*3)+((COLUMN(P52)+2)/9),MATCH(RIGHT(K55,LEN(K55)-1),[1]autofill!$H$2:$AT$2,0))="","",OFFSET([1]autofill!$G$2,(INT(ROW(P52)/22)*3)+((COLUMN(P52)+2)/9),MATCH(RIGHT(K55,LEN(K55)-1),[1]autofill!$H$2:$AT$2,0))),"")</f>
        <v/>
      </c>
      <c r="P55" s="22"/>
      <c r="Q55" s="22"/>
      <c r="R55" s="3"/>
      <c r="T55" s="7" t="str">
        <f>$B$11</f>
        <v xml:space="preserve"> Cyclopentane</v>
      </c>
      <c r="U55" s="4"/>
      <c r="V55" s="4"/>
      <c r="W55" s="4"/>
      <c r="X55" s="22" t="str">
        <f ca="1">IFERROR(IF(OFFSET([1]autofill!$G$2,(INT(ROW(Y52)/22)*3)+((COLUMN(Y52)+2)/9),MATCH(RIGHT(T55,LEN(T55)-1),[1]autofill!$H$2:$AT$2,0))="","",OFFSET([1]autofill!$G$2,(INT(ROW(Y52)/22)*3)+((COLUMN(Y52)+2)/9),MATCH(RIGHT(T55,LEN(T55)-1),[1]autofill!$H$2:$AT$2,0))),"")</f>
        <v/>
      </c>
      <c r="Y55" s="22"/>
      <c r="Z55" s="22"/>
      <c r="AA55" s="3"/>
    </row>
    <row r="56" spans="2:27" ht="22.5" customHeight="1">
      <c r="B56" s="7" t="str">
        <f>$B$12</f>
        <v xml:space="preserve"> 2-Butanone</v>
      </c>
      <c r="C56" s="4"/>
      <c r="D56" s="4"/>
      <c r="E56" s="4"/>
      <c r="F56" s="22">
        <v>100.60819194851101</v>
      </c>
      <c r="G56" s="22"/>
      <c r="H56" s="22"/>
      <c r="I56" s="3"/>
      <c r="J56" s="3"/>
      <c r="K56" s="7" t="str">
        <f>$B$12</f>
        <v xml:space="preserve"> 2-Butanone</v>
      </c>
      <c r="L56" s="4"/>
      <c r="M56" s="4"/>
      <c r="N56" s="4"/>
      <c r="O56" s="22" t="str">
        <f ca="1">IFERROR(IF(OFFSET([1]autofill!$G$2,(INT(ROW(P53)/22)*3)+((COLUMN(P53)+2)/9),MATCH(RIGHT(K56,LEN(K56)-1),[1]autofill!$H$2:$AT$2,0))="","",OFFSET([1]autofill!$G$2,(INT(ROW(P53)/22)*3)+((COLUMN(P53)+2)/9),MATCH(RIGHT(K56,LEN(K56)-1),[1]autofill!$H$2:$AT$2,0))),"")</f>
        <v/>
      </c>
      <c r="P56" s="22"/>
      <c r="Q56" s="22"/>
      <c r="R56" s="3"/>
      <c r="T56" s="7" t="str">
        <f>$B$12</f>
        <v xml:space="preserve"> 2-Butanone</v>
      </c>
      <c r="U56" s="4"/>
      <c r="V56" s="4"/>
      <c r="W56" s="4"/>
      <c r="X56" s="22" t="str">
        <f ca="1">IFERROR(IF(OFFSET([1]autofill!$G$2,(INT(ROW(Y53)/22)*3)+((COLUMN(Y53)+2)/9),MATCH(RIGHT(T56,LEN(T56)-1),[1]autofill!$H$2:$AT$2,0))="","",OFFSET([1]autofill!$G$2,(INT(ROW(Y53)/22)*3)+((COLUMN(Y53)+2)/9),MATCH(RIGHT(T56,LEN(T56)-1),[1]autofill!$H$2:$AT$2,0))),"")</f>
        <v/>
      </c>
      <c r="Y56" s="22"/>
      <c r="Z56" s="22"/>
      <c r="AA56" s="3"/>
    </row>
    <row r="57" spans="2:27" ht="22.5" customHeight="1">
      <c r="B57" s="7" t="str">
        <f>$B$13</f>
        <v xml:space="preserve"> Ethyl Acetate</v>
      </c>
      <c r="C57" s="4"/>
      <c r="D57" s="4"/>
      <c r="E57" s="4"/>
      <c r="F57" s="22">
        <v>95.348016115001599</v>
      </c>
      <c r="G57" s="22"/>
      <c r="H57" s="22"/>
      <c r="I57" s="3"/>
      <c r="J57" s="3"/>
      <c r="K57" s="7" t="str">
        <f>$B$13</f>
        <v xml:space="preserve"> Ethyl Acetate</v>
      </c>
      <c r="L57" s="4"/>
      <c r="M57" s="4"/>
      <c r="N57" s="4"/>
      <c r="O57" s="22" t="str">
        <f ca="1">IFERROR(IF(OFFSET([1]autofill!$G$2,(INT(ROW(P54)/22)*3)+((COLUMN(P54)+2)/9),MATCH(RIGHT(K57,LEN(K57)-1),[1]autofill!$H$2:$AT$2,0))="","",OFFSET([1]autofill!$G$2,(INT(ROW(P54)/22)*3)+((COLUMN(P54)+2)/9),MATCH(RIGHT(K57,LEN(K57)-1),[1]autofill!$H$2:$AT$2,0))),"")</f>
        <v/>
      </c>
      <c r="P57" s="22"/>
      <c r="Q57" s="22"/>
      <c r="R57" s="3"/>
      <c r="T57" s="7" t="str">
        <f>$B$13</f>
        <v xml:space="preserve"> Ethyl Acetate</v>
      </c>
      <c r="U57" s="4"/>
      <c r="V57" s="4"/>
      <c r="W57" s="4"/>
      <c r="X57" s="22" t="str">
        <f ca="1">IFERROR(IF(OFFSET([1]autofill!$G$2,(INT(ROW(Y54)/22)*3)+((COLUMN(Y54)+2)/9),MATCH(RIGHT(T57,LEN(T57)-1),[1]autofill!$H$2:$AT$2,0))="","",OFFSET([1]autofill!$G$2,(INT(ROW(Y54)/22)*3)+((COLUMN(Y54)+2)/9),MATCH(RIGHT(T57,LEN(T57)-1),[1]autofill!$H$2:$AT$2,0))),"")</f>
        <v/>
      </c>
      <c r="Y57" s="22"/>
      <c r="Z57" s="22"/>
      <c r="AA57" s="3"/>
    </row>
    <row r="58" spans="2:27" ht="22.5" customHeight="1">
      <c r="B58" s="7" t="str">
        <f>$B$14</f>
        <v xml:space="preserve"> Benzene</v>
      </c>
      <c r="C58" s="4"/>
      <c r="D58" s="4"/>
      <c r="E58" s="4"/>
      <c r="F58" s="22">
        <v>101.749157521447</v>
      </c>
      <c r="G58" s="22"/>
      <c r="H58" s="22"/>
      <c r="I58" s="3"/>
      <c r="J58" s="3"/>
      <c r="K58" s="7" t="str">
        <f>$B$14</f>
        <v xml:space="preserve"> Benzene</v>
      </c>
      <c r="L58" s="4"/>
      <c r="M58" s="4"/>
      <c r="N58" s="4"/>
      <c r="O58" s="22" t="str">
        <f ca="1">IFERROR(IF(OFFSET([1]autofill!$G$2,(INT(ROW(P55)/22)*3)+((COLUMN(P55)+2)/9),MATCH(RIGHT(K58,LEN(K58)-1),[1]autofill!$H$2:$AT$2,0))="","",OFFSET([1]autofill!$G$2,(INT(ROW(P55)/22)*3)+((COLUMN(P55)+2)/9),MATCH(RIGHT(K58,LEN(K58)-1),[1]autofill!$H$2:$AT$2,0))),"")</f>
        <v/>
      </c>
      <c r="P58" s="22"/>
      <c r="Q58" s="22"/>
      <c r="R58" s="3"/>
      <c r="T58" s="7" t="str">
        <f>$B$14</f>
        <v xml:space="preserve"> Benzene</v>
      </c>
      <c r="U58" s="4"/>
      <c r="V58" s="4"/>
      <c r="W58" s="4"/>
      <c r="X58" s="22" t="str">
        <f ca="1">IFERROR(IF(OFFSET([1]autofill!$G$2,(INT(ROW(Y55)/22)*3)+((COLUMN(Y55)+2)/9),MATCH(RIGHT(T58,LEN(T58)-1),[1]autofill!$H$2:$AT$2,0))="","",OFFSET([1]autofill!$G$2,(INT(ROW(Y55)/22)*3)+((COLUMN(Y55)+2)/9),MATCH(RIGHT(T58,LEN(T58)-1),[1]autofill!$H$2:$AT$2,0))),"")</f>
        <v/>
      </c>
      <c r="Y58" s="22"/>
      <c r="Z58" s="22"/>
      <c r="AA58" s="3"/>
    </row>
    <row r="59" spans="2:27" ht="22.5" customHeight="1">
      <c r="B59" s="7" t="str">
        <f>$B$15</f>
        <v xml:space="preserve"> Toluene</v>
      </c>
      <c r="C59" s="4"/>
      <c r="D59" s="4"/>
      <c r="E59" s="4"/>
      <c r="F59" s="22">
        <v>103.27518489478101</v>
      </c>
      <c r="G59" s="22"/>
      <c r="H59" s="22"/>
      <c r="I59" s="3"/>
      <c r="J59" s="3"/>
      <c r="K59" s="7" t="str">
        <f>$B$15</f>
        <v xml:space="preserve"> Toluene</v>
      </c>
      <c r="L59" s="4"/>
      <c r="M59" s="4"/>
      <c r="N59" s="4"/>
      <c r="O59" s="22" t="str">
        <f ca="1">IFERROR(IF(OFFSET([1]autofill!$G$2,(INT(ROW(P56)/22)*3)+((COLUMN(P56)+2)/9),MATCH(RIGHT(K59,LEN(K59)-1),[1]autofill!$H$2:$AT$2,0))="","",OFFSET([1]autofill!$G$2,(INT(ROW(P56)/22)*3)+((COLUMN(P56)+2)/9),MATCH(RIGHT(K59,LEN(K59)-1),[1]autofill!$H$2:$AT$2,0))),"")</f>
        <v/>
      </c>
      <c r="P59" s="22"/>
      <c r="Q59" s="22"/>
      <c r="R59" s="3"/>
      <c r="T59" s="7" t="str">
        <f>$B$15</f>
        <v xml:space="preserve"> Toluene</v>
      </c>
      <c r="U59" s="4"/>
      <c r="V59" s="4"/>
      <c r="W59" s="4"/>
      <c r="X59" s="22" t="str">
        <f ca="1">IFERROR(IF(OFFSET([1]autofill!$G$2,(INT(ROW(Y56)/22)*3)+((COLUMN(Y56)+2)/9),MATCH(RIGHT(T59,LEN(T59)-1),[1]autofill!$H$2:$AT$2,0))="","",OFFSET([1]autofill!$G$2,(INT(ROW(Y56)/22)*3)+((COLUMN(Y56)+2)/9),MATCH(RIGHT(T59,LEN(T59)-1),[1]autofill!$H$2:$AT$2,0))),"")</f>
        <v/>
      </c>
      <c r="Y59" s="22"/>
      <c r="Z59" s="22"/>
      <c r="AA59" s="3"/>
    </row>
    <row r="60" spans="2:27" ht="22.5" customHeight="1">
      <c r="B60" s="7" t="str">
        <f>$B$16</f>
        <v xml:space="preserve"> 1,2,4-TMB</v>
      </c>
      <c r="C60" s="4"/>
      <c r="D60" s="4"/>
      <c r="E60" s="4"/>
      <c r="F60" s="22">
        <v>100.197675235278</v>
      </c>
      <c r="G60" s="22"/>
      <c r="H60" s="22"/>
      <c r="I60" s="3"/>
      <c r="J60" s="3"/>
      <c r="K60" s="7" t="str">
        <f>$B$16</f>
        <v xml:space="preserve"> 1,2,4-TMB</v>
      </c>
      <c r="L60" s="4"/>
      <c r="M60" s="4"/>
      <c r="N60" s="4"/>
      <c r="O60" s="22" t="str">
        <f ca="1">IFERROR(IF(OFFSET([1]autofill!$G$2,(INT(ROW(P57)/22)*3)+((COLUMN(P57)+2)/9),MATCH(RIGHT(K60,LEN(K60)-1),[1]autofill!$H$2:$AT$2,0))="","",OFFSET([1]autofill!$G$2,(INT(ROW(P57)/22)*3)+((COLUMN(P57)+2)/9),MATCH(RIGHT(K60,LEN(K60)-1),[1]autofill!$H$2:$AT$2,0))),"")</f>
        <v/>
      </c>
      <c r="P60" s="22"/>
      <c r="Q60" s="22"/>
      <c r="R60" s="3"/>
      <c r="T60" s="7" t="str">
        <f>$B$16</f>
        <v xml:space="preserve"> 1,2,4-TMB</v>
      </c>
      <c r="U60" s="4"/>
      <c r="V60" s="4"/>
      <c r="W60" s="4"/>
      <c r="X60" s="22" t="str">
        <f ca="1">IFERROR(IF(OFFSET([1]autofill!$G$2,(INT(ROW(Y57)/22)*3)+((COLUMN(Y57)+2)/9),MATCH(RIGHT(T60,LEN(T60)-1),[1]autofill!$H$2:$AT$2,0))="","",OFFSET([1]autofill!$G$2,(INT(ROW(Y57)/22)*3)+((COLUMN(Y57)+2)/9),MATCH(RIGHT(T60,LEN(T60)-1),[1]autofill!$H$2:$AT$2,0))),"")</f>
        <v/>
      </c>
      <c r="Y60" s="22"/>
      <c r="Z60" s="22"/>
      <c r="AA60" s="3"/>
    </row>
    <row r="61" spans="2:27" ht="7.5" customHeight="1">
      <c r="B61" s="5"/>
      <c r="C61" s="5"/>
      <c r="D61" s="5"/>
      <c r="E61" s="5"/>
      <c r="F61" s="5"/>
      <c r="G61" s="5"/>
      <c r="H61" s="5"/>
      <c r="I61" s="5"/>
      <c r="J61" s="3"/>
      <c r="K61" s="5"/>
      <c r="L61" s="5"/>
      <c r="M61" s="5"/>
      <c r="N61" s="5"/>
      <c r="O61" s="5"/>
      <c r="P61" s="5"/>
      <c r="Q61" s="5"/>
      <c r="R61" s="5"/>
      <c r="T61" s="5"/>
      <c r="U61" s="5"/>
      <c r="V61" s="5"/>
      <c r="W61" s="5"/>
      <c r="X61" s="5"/>
      <c r="Y61" s="5"/>
      <c r="Z61" s="5"/>
      <c r="AA61" s="5"/>
    </row>
    <row r="62" spans="2:27" ht="4.5" customHeight="1">
      <c r="B62" s="4"/>
      <c r="C62" s="4"/>
      <c r="D62" s="4"/>
      <c r="E62" s="4"/>
      <c r="F62" s="4"/>
      <c r="G62" s="4"/>
      <c r="H62" s="4"/>
      <c r="I62" s="4"/>
      <c r="J62" s="3"/>
      <c r="K62" s="4"/>
      <c r="L62" s="4"/>
      <c r="M62" s="4"/>
      <c r="N62" s="4"/>
      <c r="O62" s="4"/>
      <c r="P62" s="4"/>
      <c r="Q62" s="4"/>
      <c r="R62" s="4"/>
      <c r="T62" s="4"/>
      <c r="U62" s="4"/>
      <c r="V62" s="4"/>
      <c r="W62" s="4"/>
      <c r="X62" s="4"/>
      <c r="Y62" s="4"/>
      <c r="Z62" s="4"/>
      <c r="AA62" s="4"/>
    </row>
    <row r="63" spans="2:27">
      <c r="B63" s="20" t="s">
        <v>16</v>
      </c>
      <c r="C63" s="20"/>
      <c r="D63" s="20"/>
      <c r="E63" s="20"/>
      <c r="F63" s="21" t="s">
        <v>39</v>
      </c>
      <c r="G63" s="21"/>
      <c r="H63" s="21"/>
      <c r="I63" s="21"/>
      <c r="J63" s="3"/>
      <c r="K63" s="20" t="s">
        <v>16</v>
      </c>
      <c r="L63" s="20"/>
      <c r="M63" s="20"/>
      <c r="N63" s="20"/>
      <c r="O63" s="21" t="s">
        <v>19</v>
      </c>
      <c r="P63" s="21"/>
      <c r="Q63" s="21"/>
      <c r="R63" s="21"/>
      <c r="T63" s="20" t="s">
        <v>16</v>
      </c>
      <c r="U63" s="20"/>
      <c r="V63" s="20"/>
      <c r="W63" s="20"/>
      <c r="X63" s="21" t="s">
        <v>19</v>
      </c>
      <c r="Y63" s="21"/>
      <c r="Z63" s="21"/>
      <c r="AA63" s="21"/>
    </row>
    <row r="64" spans="2:27" ht="16.5" customHeight="1">
      <c r="B64" s="18" t="s">
        <v>40</v>
      </c>
      <c r="C64" s="18"/>
      <c r="D64" s="18"/>
      <c r="E64" s="18"/>
      <c r="F64" s="18"/>
      <c r="G64" s="4"/>
      <c r="H64" s="4"/>
      <c r="I64" s="3"/>
      <c r="J64" s="3"/>
      <c r="K64" s="18" t="s">
        <v>42</v>
      </c>
      <c r="L64" s="18"/>
      <c r="M64" s="18"/>
      <c r="N64" s="18"/>
      <c r="O64" s="18"/>
      <c r="P64" s="4"/>
      <c r="Q64" s="4"/>
      <c r="R64" s="3"/>
      <c r="T64" s="18" t="s">
        <v>42</v>
      </c>
      <c r="U64" s="18"/>
      <c r="V64" s="18"/>
      <c r="W64" s="18"/>
      <c r="X64" s="18"/>
      <c r="Y64" s="4"/>
      <c r="Z64" s="4"/>
      <c r="AA64" s="3"/>
    </row>
    <row r="65" spans="1:28" ht="9.75" customHeight="1">
      <c r="B65" s="6"/>
      <c r="C65" s="6"/>
      <c r="D65" s="6"/>
      <c r="F65" s="6"/>
      <c r="G65" s="19"/>
      <c r="H65" s="19"/>
      <c r="I65" s="19"/>
      <c r="K65" s="6"/>
      <c r="L65" s="6"/>
      <c r="M65" s="6"/>
      <c r="O65" s="6"/>
      <c r="P65" s="19"/>
      <c r="Q65" s="19"/>
      <c r="R65" s="19"/>
      <c r="T65" s="6"/>
      <c r="U65" s="6"/>
      <c r="V65" s="6"/>
      <c r="X65" s="6"/>
      <c r="Y65" s="19"/>
      <c r="Z65" s="19"/>
      <c r="AA65" s="19"/>
    </row>
    <row r="66" spans="1:28">
      <c r="B66" s="16" t="str">
        <f>$B$22</f>
        <v>安裝Engineer  Signature  / Date</v>
      </c>
      <c r="C66" s="16"/>
      <c r="D66" s="16"/>
      <c r="F66" s="17" t="str">
        <f>$F$22</f>
        <v>Authorized Signature  / Date</v>
      </c>
      <c r="G66" s="17"/>
      <c r="H66" s="17"/>
      <c r="I66" s="17"/>
      <c r="K66" s="16" t="str">
        <f>$B$22</f>
        <v>安裝Engineer  Signature  / Date</v>
      </c>
      <c r="L66" s="16"/>
      <c r="M66" s="16"/>
      <c r="O66" s="17" t="str">
        <f>$F$22</f>
        <v>Authorized Signature  / Date</v>
      </c>
      <c r="P66" s="17"/>
      <c r="Q66" s="17"/>
      <c r="R66" s="17"/>
      <c r="T66" s="16" t="str">
        <f>$B$22</f>
        <v>安裝Engineer  Signature  / Date</v>
      </c>
      <c r="U66" s="16"/>
      <c r="V66" s="16"/>
      <c r="X66" s="17" t="str">
        <f>$F$22</f>
        <v>Authorized Signature  / Date</v>
      </c>
      <c r="Y66" s="17"/>
      <c r="Z66" s="17"/>
      <c r="AA66" s="17"/>
    </row>
    <row r="67" spans="1:28" ht="3.75" customHeight="1">
      <c r="A67" t="s">
        <v>12</v>
      </c>
      <c r="J67" t="s">
        <v>12</v>
      </c>
      <c r="S67" t="s">
        <v>12</v>
      </c>
      <c r="AB67" t="s">
        <v>12</v>
      </c>
    </row>
  </sheetData>
  <mergeCells count="144">
    <mergeCell ref="F9:H9"/>
    <mergeCell ref="O9:Q9"/>
    <mergeCell ref="X9:Z9"/>
    <mergeCell ref="F10:H10"/>
    <mergeCell ref="O10:Q10"/>
    <mergeCell ref="X10:Z10"/>
    <mergeCell ref="F6:H6"/>
    <mergeCell ref="O6:Q6"/>
    <mergeCell ref="X6:Z6"/>
    <mergeCell ref="F8:H8"/>
    <mergeCell ref="O8:Q8"/>
    <mergeCell ref="X8:Z8"/>
    <mergeCell ref="F13:H13"/>
    <mergeCell ref="O13:Q13"/>
    <mergeCell ref="X13:Z13"/>
    <mergeCell ref="F14:H14"/>
    <mergeCell ref="O14:Q14"/>
    <mergeCell ref="X14:Z14"/>
    <mergeCell ref="F11:H11"/>
    <mergeCell ref="O11:Q11"/>
    <mergeCell ref="X11:Z11"/>
    <mergeCell ref="F12:H12"/>
    <mergeCell ref="O12:Q12"/>
    <mergeCell ref="X12:Z12"/>
    <mergeCell ref="B19:E19"/>
    <mergeCell ref="F19:I19"/>
    <mergeCell ref="K19:N19"/>
    <mergeCell ref="O19:R19"/>
    <mergeCell ref="T19:W19"/>
    <mergeCell ref="X19:AA19"/>
    <mergeCell ref="F15:H15"/>
    <mergeCell ref="O15:Q15"/>
    <mergeCell ref="X15:Z15"/>
    <mergeCell ref="F16:H16"/>
    <mergeCell ref="O16:Q16"/>
    <mergeCell ref="X16:Z16"/>
    <mergeCell ref="B22:D22"/>
    <mergeCell ref="F22:I22"/>
    <mergeCell ref="K22:M22"/>
    <mergeCell ref="O22:R22"/>
    <mergeCell ref="T22:V22"/>
    <mergeCell ref="X22:AA22"/>
    <mergeCell ref="B20:F20"/>
    <mergeCell ref="K20:O20"/>
    <mergeCell ref="T20:X20"/>
    <mergeCell ref="G21:I21"/>
    <mergeCell ref="P21:R21"/>
    <mergeCell ref="Y21:AA21"/>
    <mergeCell ref="F31:H31"/>
    <mergeCell ref="O31:Q31"/>
    <mergeCell ref="X31:Z31"/>
    <mergeCell ref="F32:H32"/>
    <mergeCell ref="O32:Q32"/>
    <mergeCell ref="X32:Z32"/>
    <mergeCell ref="F28:H28"/>
    <mergeCell ref="O28:Q28"/>
    <mergeCell ref="X28:Z28"/>
    <mergeCell ref="F30:H30"/>
    <mergeCell ref="O30:Q30"/>
    <mergeCell ref="X30:Z30"/>
    <mergeCell ref="F35:H35"/>
    <mergeCell ref="O35:Q35"/>
    <mergeCell ref="X35:Z35"/>
    <mergeCell ref="F36:H36"/>
    <mergeCell ref="O36:Q36"/>
    <mergeCell ref="X36:Z36"/>
    <mergeCell ref="F33:H33"/>
    <mergeCell ref="O33:Q33"/>
    <mergeCell ref="X33:Z33"/>
    <mergeCell ref="F34:H34"/>
    <mergeCell ref="O34:Q34"/>
    <mergeCell ref="X34:Z34"/>
    <mergeCell ref="B41:E41"/>
    <mergeCell ref="F41:I41"/>
    <mergeCell ref="K41:N41"/>
    <mergeCell ref="O41:R41"/>
    <mergeCell ref="T41:W41"/>
    <mergeCell ref="X41:AA41"/>
    <mergeCell ref="F37:H37"/>
    <mergeCell ref="O37:Q37"/>
    <mergeCell ref="X37:Z37"/>
    <mergeCell ref="F38:H38"/>
    <mergeCell ref="O38:Q38"/>
    <mergeCell ref="X38:Z38"/>
    <mergeCell ref="B44:D44"/>
    <mergeCell ref="F44:I44"/>
    <mergeCell ref="K44:M44"/>
    <mergeCell ref="O44:R44"/>
    <mergeCell ref="T44:V44"/>
    <mergeCell ref="X44:AA44"/>
    <mergeCell ref="B42:F42"/>
    <mergeCell ref="K42:O42"/>
    <mergeCell ref="T42:X42"/>
    <mergeCell ref="G43:I43"/>
    <mergeCell ref="P43:R43"/>
    <mergeCell ref="Y43:AA43"/>
    <mergeCell ref="F53:H53"/>
    <mergeCell ref="O53:Q53"/>
    <mergeCell ref="X53:Z53"/>
    <mergeCell ref="F54:H54"/>
    <mergeCell ref="O54:Q54"/>
    <mergeCell ref="X54:Z54"/>
    <mergeCell ref="F50:H50"/>
    <mergeCell ref="O50:Q50"/>
    <mergeCell ref="X50:Z50"/>
    <mergeCell ref="F52:H52"/>
    <mergeCell ref="O52:Q52"/>
    <mergeCell ref="X52:Z52"/>
    <mergeCell ref="F57:H57"/>
    <mergeCell ref="O57:Q57"/>
    <mergeCell ref="X57:Z57"/>
    <mergeCell ref="F58:H58"/>
    <mergeCell ref="O58:Q58"/>
    <mergeCell ref="X58:Z58"/>
    <mergeCell ref="F55:H55"/>
    <mergeCell ref="O55:Q55"/>
    <mergeCell ref="X55:Z55"/>
    <mergeCell ref="F56:H56"/>
    <mergeCell ref="O56:Q56"/>
    <mergeCell ref="X56:Z56"/>
    <mergeCell ref="B63:E63"/>
    <mergeCell ref="F63:I63"/>
    <mergeCell ref="K63:N63"/>
    <mergeCell ref="O63:R63"/>
    <mergeCell ref="T63:W63"/>
    <mergeCell ref="X63:AA63"/>
    <mergeCell ref="F59:H59"/>
    <mergeCell ref="O59:Q59"/>
    <mergeCell ref="X59:Z59"/>
    <mergeCell ref="F60:H60"/>
    <mergeCell ref="O60:Q60"/>
    <mergeCell ref="X60:Z60"/>
    <mergeCell ref="B66:D66"/>
    <mergeCell ref="F66:I66"/>
    <mergeCell ref="K66:M66"/>
    <mergeCell ref="O66:R66"/>
    <mergeCell ref="T66:V66"/>
    <mergeCell ref="X66:AA66"/>
    <mergeCell ref="B64:F64"/>
    <mergeCell ref="K64:O64"/>
    <mergeCell ref="T64:X64"/>
    <mergeCell ref="G65:I65"/>
    <mergeCell ref="P65:R65"/>
    <mergeCell ref="Y65:AA65"/>
  </mergeCells>
  <phoneticPr fontId="1" type="noConversion"/>
  <printOptions horizontalCentered="1"/>
  <pageMargins left="0.25" right="0.25" top="0.25" bottom="0.25" header="0" footer="0"/>
  <pageSetup paperSize="9" fitToWidth="1" fitToHeight="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2D81-EFDD-4EC2-8DD1-BE1C29059184}">
  <dimension ref="A1:F6"/>
  <sheetViews>
    <sheetView tabSelected="1" zoomScale="90" zoomScaleNormal="90" workbookViewId="0">
      <selection activeCell="E24" sqref="E24"/>
    </sheetView>
  </sheetViews>
  <sheetFormatPr defaultRowHeight="16.2"/>
  <cols>
    <col min="1" max="1" width="24.33203125" customWidth="1"/>
    <col min="2" max="2" width="23.5546875" customWidth="1"/>
    <col min="3" max="3" width="10.44140625" bestFit="1" customWidth="1"/>
    <col min="4" max="4" width="55.44140625" bestFit="1" customWidth="1"/>
    <col min="5" max="5" width="73.5546875" bestFit="1" customWidth="1"/>
    <col min="6" max="6" width="32.109375" customWidth="1"/>
  </cols>
  <sheetData>
    <row r="1" spans="1:6">
      <c r="A1" s="23" t="s">
        <v>43</v>
      </c>
      <c r="B1" s="23" t="s">
        <v>44</v>
      </c>
      <c r="C1" s="23" t="s">
        <v>45</v>
      </c>
      <c r="D1" s="23" t="s">
        <v>46</v>
      </c>
      <c r="E1" s="24" t="s">
        <v>47</v>
      </c>
      <c r="F1" s="23" t="s">
        <v>48</v>
      </c>
    </row>
    <row r="2" spans="1:6">
      <c r="A2" s="23" t="s">
        <v>49</v>
      </c>
      <c r="B2" s="23" t="s">
        <v>50</v>
      </c>
      <c r="C2" s="23" t="s">
        <v>51</v>
      </c>
      <c r="D2" s="23" t="s">
        <v>52</v>
      </c>
      <c r="F2" s="23"/>
    </row>
    <row r="3" spans="1:6">
      <c r="A3" s="23" t="s">
        <v>53</v>
      </c>
      <c r="B3" s="23"/>
      <c r="C3" s="23" t="s">
        <v>51</v>
      </c>
      <c r="D3" s="23" t="s">
        <v>54</v>
      </c>
      <c r="E3" s="23"/>
      <c r="F3" s="23"/>
    </row>
    <row r="4" spans="1:6">
      <c r="A4" s="23" t="s">
        <v>55</v>
      </c>
      <c r="B4" s="23" t="s">
        <v>56</v>
      </c>
      <c r="C4" s="23" t="s">
        <v>51</v>
      </c>
      <c r="D4" s="23" t="s">
        <v>57</v>
      </c>
      <c r="E4" s="23"/>
      <c r="F4" s="23"/>
    </row>
    <row r="5" spans="1:6">
      <c r="A5" s="23" t="s">
        <v>58</v>
      </c>
      <c r="B5" s="23" t="s">
        <v>59</v>
      </c>
      <c r="C5" s="23" t="s">
        <v>51</v>
      </c>
      <c r="D5" s="23" t="s">
        <v>60</v>
      </c>
      <c r="E5" s="23"/>
      <c r="F5" s="23"/>
    </row>
    <row r="6" spans="1:6">
      <c r="A6" s="23" t="s">
        <v>41</v>
      </c>
      <c r="B6" s="23" t="s">
        <v>61</v>
      </c>
      <c r="C6" s="23" t="s">
        <v>62</v>
      </c>
      <c r="D6" s="23" t="s">
        <v>63</v>
      </c>
      <c r="E6" s="23" t="s">
        <v>64</v>
      </c>
      <c r="F6" s="23" t="s">
        <v>65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0947957CB9A1146899F1A4138187191" ma:contentTypeVersion="15" ma:contentTypeDescription="新建文档。" ma:contentTypeScope="" ma:versionID="0a3f3c1b2b9bc46816216847aed4ed7a">
  <xsd:schema xmlns:xsd="http://www.w3.org/2001/XMLSchema" xmlns:xs="http://www.w3.org/2001/XMLSchema" xmlns:p="http://schemas.microsoft.com/office/2006/metadata/properties" xmlns:ns2="322e9515-a834-43ab-8dfc-fb636c333c6e" xmlns:ns3="31cd1f55-1d3a-455d-9509-84b6ef795acc" targetNamespace="http://schemas.microsoft.com/office/2006/metadata/properties" ma:root="true" ma:fieldsID="8aef6acecbfccec41d408700936c2151" ns2:_="" ns3:_="">
    <xsd:import namespace="322e9515-a834-43ab-8dfc-fb636c333c6e"/>
    <xsd:import namespace="31cd1f55-1d3a-455d-9509-84b6ef795a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e9515-a834-43ab-8dfc-fb636c333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7daecd23-c390-468d-818a-55efd41c38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d1f55-1d3a-455d-9509-84b6ef795a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4042059-69af-49b7-8d82-562cc850a114}" ma:internalName="TaxCatchAll" ma:showField="CatchAllData" ma:web="31cd1f55-1d3a-455d-9509-84b6ef795a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2e9515-a834-43ab-8dfc-fb636c333c6e">
      <Terms xmlns="http://schemas.microsoft.com/office/infopath/2007/PartnerControls"/>
    </lcf76f155ced4ddcb4097134ff3c332f>
    <TaxCatchAll xmlns="31cd1f55-1d3a-455d-9509-84b6ef795acc" xsi:nil="true"/>
  </documentManagement>
</p:properties>
</file>

<file path=customXml/itemProps1.xml><?xml version="1.0" encoding="utf-8"?>
<ds:datastoreItem xmlns:ds="http://schemas.openxmlformats.org/officeDocument/2006/customXml" ds:itemID="{8914172F-6FCA-40EC-B1B5-9F8714A12C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934543-938F-4DD4-AC39-B90AAE943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2e9515-a834-43ab-8dfc-fb636c333c6e"/>
    <ds:schemaRef ds:uri="31cd1f55-1d3a-455d-9509-84b6ef795a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0BFDBD-EA38-4961-8006-E492C86800C2}">
  <ds:schemaRefs>
    <ds:schemaRef ds:uri="http://schemas.microsoft.com/office/2006/metadata/properties"/>
    <ds:schemaRef ds:uri="http://schemas.microsoft.com/office/infopath/2007/PartnerControls"/>
    <ds:schemaRef ds:uri="322e9515-a834-43ab-8dfc-fb636c333c6e"/>
    <ds:schemaRef ds:uri="31cd1f55-1d3a-455d-9509-84b6ef795a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Report(空白)</vt:lpstr>
      <vt:lpstr>Report(範本)</vt:lpstr>
      <vt:lpstr>欄位註解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Becky_Chen 陳萱</cp:lastModifiedBy>
  <cp:lastPrinted>2020-12-02T04:12:02Z</cp:lastPrinted>
  <dcterms:created xsi:type="dcterms:W3CDTF">2015-02-12T10:13:28Z</dcterms:created>
  <dcterms:modified xsi:type="dcterms:W3CDTF">2026-05-21T05:22:06Z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663cb9c3-6bf2-4ee3-8862-ac32f8e1e31e</vt:lpwstr>
  </property>
  <property fmtid="{D5CDD505-2E9C-101B-9397-08002B2CF9AE}" pid="3" name="ContentTypeId">
    <vt:lpwstr>0x010100E0947957CB9A1146899F1A4138187191</vt:lpwstr>
  </property>
</Properties>
</file>